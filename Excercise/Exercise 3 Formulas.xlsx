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\Said Fwazy Training\01 Excel Basics\_Preperation\Excercise\"/>
    </mc:Choice>
  </mc:AlternateContent>
  <xr:revisionPtr revIDLastSave="0" documentId="13_ncr:1_{4239B34A-6876-4DC8-BEA7-DCE466D3AC4A}" xr6:coauthVersionLast="47" xr6:coauthVersionMax="47" xr10:uidLastSave="{00000000-0000-0000-0000-000000000000}"/>
  <bookViews>
    <workbookView xWindow="-120" yWindow="-120" windowWidth="20730" windowHeight="11040" firstSheet="8" activeTab="11" xr2:uid="{D65FF853-2800-49D2-ADA6-489BE9547E09}"/>
  </bookViews>
  <sheets>
    <sheet name="INTRO" sheetId="1" r:id="rId1"/>
    <sheet name="OPERATORS" sheetId="3" r:id="rId2"/>
    <sheet name="BODMAS" sheetId="2" r:id="rId3"/>
    <sheet name="SUM Function" sheetId="4" r:id="rId4"/>
    <sheet name="COUNT Function" sheetId="5" r:id="rId5"/>
    <sheet name="Average" sheetId="6" r:id="rId6"/>
    <sheet name="MIN and MAX" sheetId="7" r:id="rId7"/>
    <sheet name="Error Handling" sheetId="8" r:id="rId8"/>
    <sheet name="Absolute vs Relative" sheetId="9" r:id="rId9"/>
    <sheet name="AutoSum_AutoFill 1" sheetId="10" r:id="rId10"/>
    <sheet name="AutoSum_AutoFill 2" sheetId="11" r:id="rId11"/>
    <sheet name="Flash Fill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8" l="1"/>
  <c r="E14" i="8"/>
  <c r="D14" i="8"/>
  <c r="C14" i="8"/>
  <c r="I5" i="8"/>
  <c r="I4" i="8"/>
  <c r="I3" i="8" a="1"/>
  <c r="I3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<sst xmlns="http://schemas.openxmlformats.org/spreadsheetml/2006/main" count="289" uniqueCount="154">
  <si>
    <t>The BODMAS Principle</t>
  </si>
  <si>
    <t>B</t>
  </si>
  <si>
    <t>O</t>
  </si>
  <si>
    <t>D</t>
  </si>
  <si>
    <t>M</t>
  </si>
  <si>
    <t>A</t>
  </si>
  <si>
    <t>S</t>
  </si>
  <si>
    <t>Brackets</t>
  </si>
  <si>
    <t>Orders</t>
  </si>
  <si>
    <t>Division</t>
  </si>
  <si>
    <t>Multiplication</t>
  </si>
  <si>
    <t>Addition</t>
  </si>
  <si>
    <t>Subtraction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</si>
  <si>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</si>
  <si>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</si>
  <si>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</si>
  <si>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</si>
  <si>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</si>
  <si>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</si>
  <si>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</si>
  <si>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</si>
  <si>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</si>
  <si>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</si>
  <si>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</si>
  <si>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</si>
  <si>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</si>
  <si>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+</t>
  </si>
  <si>
    <t>-</t>
  </si>
  <si>
    <t>*</t>
  </si>
  <si>
    <t>/</t>
  </si>
  <si>
    <t>Operators</t>
  </si>
  <si>
    <t>P</t>
  </si>
  <si>
    <t>Parenthesis</t>
  </si>
  <si>
    <t>I</t>
  </si>
  <si>
    <t>Indices</t>
  </si>
  <si>
    <t>Student</t>
  </si>
  <si>
    <t>Test Score</t>
  </si>
  <si>
    <t xml:space="preserve">No. of Students </t>
  </si>
  <si>
    <t>Said Fawzy</t>
  </si>
  <si>
    <t>Ashraf Hasn</t>
  </si>
  <si>
    <t>Ahmed Sayed</t>
  </si>
  <si>
    <t>Taghreed Momtaz</t>
  </si>
  <si>
    <t>Gamal Fattoh</t>
  </si>
  <si>
    <t>Naguib Farid</t>
  </si>
  <si>
    <t>Hasan Morad</t>
  </si>
  <si>
    <t>Fadel Shawatfy</t>
  </si>
  <si>
    <t>Gamal Mahmoud</t>
  </si>
  <si>
    <t>Sayed Ghareeb</t>
  </si>
  <si>
    <t>Makram Hasan</t>
  </si>
  <si>
    <t>Fekry Zaied</t>
  </si>
  <si>
    <t>Manal Mahmoud</t>
  </si>
  <si>
    <t>Average</t>
  </si>
  <si>
    <t>Minimum Value</t>
  </si>
  <si>
    <t>Maximum Value</t>
  </si>
  <si>
    <t>Total Sales</t>
  </si>
  <si>
    <t>Total Dec</t>
  </si>
  <si>
    <t>Total Q2</t>
  </si>
  <si>
    <t>Employee Name</t>
  </si>
  <si>
    <t>Department</t>
  </si>
  <si>
    <t>Years</t>
  </si>
  <si>
    <t>Salary</t>
  </si>
  <si>
    <t>Bonus</t>
  </si>
  <si>
    <t>New Salary</t>
  </si>
  <si>
    <t>Ed Stacey</t>
  </si>
  <si>
    <t>Sales</t>
  </si>
  <si>
    <t>Aleena Barnes</t>
  </si>
  <si>
    <t>Johnathon Parkinson</t>
  </si>
  <si>
    <t>Administration</t>
  </si>
  <si>
    <t>Tiarna Estrada</t>
  </si>
  <si>
    <t>ADC</t>
  </si>
  <si>
    <t>Sultan Iles</t>
  </si>
  <si>
    <t>Henley Neale</t>
  </si>
  <si>
    <t>Marketing</t>
  </si>
  <si>
    <t>Whitney Craig</t>
  </si>
  <si>
    <t>Training</t>
  </si>
  <si>
    <t>Bushra Timms</t>
  </si>
  <si>
    <t>Dina Pollard</t>
  </si>
  <si>
    <t>Kymani Guthrie</t>
  </si>
  <si>
    <t>Sophia Moss</t>
  </si>
  <si>
    <t>Odin Henderson</t>
  </si>
  <si>
    <t>Rohan Hope</t>
  </si>
  <si>
    <t>Martina Beech</t>
  </si>
  <si>
    <t>Cameron Durham</t>
  </si>
  <si>
    <t>Bailey Partridge</t>
  </si>
  <si>
    <t>Shayaan Gough</t>
  </si>
  <si>
    <t>Della Sharma</t>
  </si>
  <si>
    <t>Clay Santos</t>
  </si>
  <si>
    <t>Wade Spencer</t>
  </si>
  <si>
    <t>Luke Forrest</t>
  </si>
  <si>
    <t>Kaydon Key</t>
  </si>
  <si>
    <t>Amani Osborn</t>
  </si>
  <si>
    <t>Sian Schultz</t>
  </si>
  <si>
    <t>Abdallah Oakley</t>
  </si>
  <si>
    <t>Euan Charlton</t>
  </si>
  <si>
    <t>Flynn Walter</t>
  </si>
  <si>
    <t>Breanna Escobar</t>
  </si>
  <si>
    <t>Layton Fernandez</t>
  </si>
  <si>
    <t>Ho Carr</t>
  </si>
  <si>
    <t>Rumaysa Trujillo</t>
  </si>
  <si>
    <t>Arwen Rasmussen</t>
  </si>
  <si>
    <t>Ishika Carlson</t>
  </si>
  <si>
    <t>Adeel Bonner</t>
  </si>
  <si>
    <t>Tillie Schofield</t>
  </si>
  <si>
    <t>Ruth Mccallum</t>
  </si>
  <si>
    <t>Debra Rivas</t>
  </si>
  <si>
    <t>Manha Rooney</t>
  </si>
  <si>
    <t>Selina Chan</t>
  </si>
  <si>
    <t>Benny Rodriquez</t>
  </si>
  <si>
    <t>Ifan Dunn</t>
  </si>
  <si>
    <t>Nana Carrillo</t>
  </si>
  <si>
    <t>Hendrix Robson</t>
  </si>
  <si>
    <t>Miah Prosser</t>
  </si>
  <si>
    <t>Harriett Ashton</t>
  </si>
  <si>
    <t>Taylor Farley</t>
  </si>
  <si>
    <t>Laurence Sheldon</t>
  </si>
  <si>
    <t>Lily-Rose Noble</t>
  </si>
  <si>
    <t>Nada Erickson</t>
  </si>
  <si>
    <t>Sam White</t>
  </si>
  <si>
    <t>Min</t>
  </si>
  <si>
    <t>Max</t>
  </si>
  <si>
    <t>Numbers</t>
  </si>
  <si>
    <t>Dates</t>
  </si>
  <si>
    <t>Months</t>
  </si>
  <si>
    <t>Days</t>
  </si>
  <si>
    <t>Employees</t>
  </si>
  <si>
    <t>Flash Fill</t>
  </si>
  <si>
    <t>Full Name</t>
  </si>
  <si>
    <t>First Name</t>
  </si>
  <si>
    <t>Last Name</t>
  </si>
  <si>
    <t>Email Address</t>
  </si>
  <si>
    <t xml:space="preserve">Long Order No. </t>
  </si>
  <si>
    <t xml:space="preserve">Short Order No. </t>
  </si>
  <si>
    <t>Product Name</t>
  </si>
  <si>
    <t>Color</t>
  </si>
  <si>
    <t>Product</t>
  </si>
  <si>
    <t>Item Code</t>
  </si>
  <si>
    <t>ORD-123</t>
  </si>
  <si>
    <t>RedShirt-123</t>
  </si>
  <si>
    <t>ORD-124</t>
  </si>
  <si>
    <t>GreenTrousers-498</t>
  </si>
  <si>
    <t>ORD-125</t>
  </si>
  <si>
    <t>YellowTie-289</t>
  </si>
  <si>
    <t>ORD-126</t>
  </si>
  <si>
    <t>BrownBoots-290</t>
  </si>
  <si>
    <t>ORD-127</t>
  </si>
  <si>
    <t>PurpleSocks-120</t>
  </si>
  <si>
    <t>ORD-128</t>
  </si>
  <si>
    <t>ORD-129</t>
  </si>
  <si>
    <t>ORD-130</t>
  </si>
  <si>
    <t>ORD-131</t>
  </si>
  <si>
    <t>ORD-132</t>
  </si>
  <si>
    <t>ORD-133</t>
  </si>
  <si>
    <t>ORD-134</t>
  </si>
  <si>
    <t>ORD-135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</si>
</sst>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£&quot;#,##0"/>
    <numFmt numFmtId="165" formatCode="&quot;£&quot;#,##0.00"/>
    <numFmt numFmtId="166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4"/>
      <color theme="1"/>
      <name val="Segoe UI"/>
      <family val="2"/>
    </font>
    <font>
      <sz val="16"/>
      <color theme="1"/>
      <name val="Segoe UI"/>
      <family val="2"/>
    </font>
    <font>
      <sz val="18"/>
      <color theme="1"/>
      <name val="Segoe UI"/>
      <family val="2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Segoe UI"/>
      <family val="2"/>
    </font>
    <font>
      <sz val="12"/>
      <color theme="1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5" tint="-0.499984740745262"/>
      </left>
      <right style="thin">
        <color theme="4"/>
      </right>
      <top style="medium">
        <color theme="5" tint="-0.499984740745262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medium">
        <color theme="5" tint="-0.499984740745262"/>
      </top>
      <bottom style="thin">
        <color theme="4"/>
      </bottom>
      <diagonal/>
    </border>
    <border>
      <left style="medium">
        <color theme="9" tint="-0.249977111117893"/>
      </left>
      <right style="medium">
        <color theme="9" tint="-0.249977111117893"/>
      </right>
      <top/>
      <bottom/>
      <diagonal/>
    </border>
    <border>
      <left/>
      <right/>
      <top/>
      <bottom style="thin">
        <color theme="1" tint="0.34998626667073579"/>
      </bottom>
      <diagonal/>
    </border>
    <border>
      <left/>
      <right/>
      <top style="thin">
        <color rgb="FF7030A0"/>
      </top>
      <bottom style="thin">
        <color rgb="FF7030A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2" fillId="0" borderId="0"/>
    <xf numFmtId="0" fontId="14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3" fillId="2" borderId="0" xfId="0" applyFont="1" applyFill="1"/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 indent="2"/>
    </xf>
    <xf numFmtId="0" fontId="0" fillId="0" borderId="2" xfId="0" applyBorder="1"/>
    <xf numFmtId="0" fontId="0" fillId="9" borderId="2" xfId="0" applyFill="1" applyBorder="1"/>
    <xf numFmtId="0" fontId="0" fillId="0" borderId="2" xfId="1" applyNumberFormat="1" applyFont="1" applyBorder="1"/>
    <xf numFmtId="0" fontId="4" fillId="0" borderId="3" xfId="0" applyFont="1" applyBorder="1" applyAlignment="1">
      <alignment horizontal="left" vertical="center" indent="2"/>
    </xf>
    <xf numFmtId="0" fontId="7" fillId="10" borderId="3" xfId="0" applyFont="1" applyFill="1" applyBorder="1" applyAlignment="1">
      <alignment horizontal="center" vertical="center"/>
    </xf>
    <xf numFmtId="0" fontId="0" fillId="0" borderId="4" xfId="0" applyBorder="1"/>
    <xf numFmtId="0" fontId="0" fillId="11" borderId="1" xfId="0" applyFill="1" applyBorder="1"/>
    <xf numFmtId="0" fontId="0" fillId="0" borderId="5" xfId="0" applyBorder="1"/>
    <xf numFmtId="0" fontId="0" fillId="0" borderId="1" xfId="0" applyBorder="1"/>
    <xf numFmtId="0" fontId="8" fillId="12" borderId="2" xfId="0" applyFont="1" applyFill="1" applyBorder="1"/>
    <xf numFmtId="0" fontId="0" fillId="13" borderId="2" xfId="1" applyNumberFormat="1" applyFont="1" applyFill="1" applyBorder="1"/>
    <xf numFmtId="9" fontId="0" fillId="0" borderId="0" xfId="0" applyNumberFormat="1"/>
    <xf numFmtId="0" fontId="9" fillId="14" borderId="0" xfId="0" applyFont="1" applyFill="1"/>
    <xf numFmtId="164" fontId="9" fillId="14" borderId="0" xfId="0" applyNumberFormat="1" applyFont="1" applyFill="1"/>
    <xf numFmtId="165" fontId="9" fillId="14" borderId="0" xfId="0" applyNumberFormat="1" applyFont="1" applyFill="1"/>
    <xf numFmtId="0" fontId="9" fillId="14" borderId="6" xfId="0" applyFont="1" applyFill="1" applyBorder="1"/>
    <xf numFmtId="166" fontId="10" fillId="0" borderId="7" xfId="0" applyNumberFormat="1" applyFont="1" applyBorder="1"/>
    <xf numFmtId="164" fontId="2" fillId="0" borderId="0" xfId="1" applyNumberFormat="1" applyFont="1"/>
    <xf numFmtId="165" fontId="2" fillId="0" borderId="0" xfId="0" applyNumberFormat="1" applyFont="1"/>
    <xf numFmtId="164" fontId="2" fillId="0" borderId="0" xfId="0" applyNumberFormat="1" applyFont="1"/>
    <xf numFmtId="0" fontId="11" fillId="2" borderId="2" xfId="0" applyFont="1" applyFill="1" applyBorder="1"/>
    <xf numFmtId="0" fontId="0" fillId="9" borderId="8" xfId="0" applyFill="1" applyBorder="1"/>
    <xf numFmtId="14" fontId="0" fillId="0" borderId="0" xfId="0" applyNumberFormat="1"/>
    <xf numFmtId="0" fontId="11" fillId="15" borderId="0" xfId="0" applyFont="1" applyFill="1"/>
    <xf numFmtId="0" fontId="13" fillId="0" borderId="9" xfId="2" applyFont="1" applyBorder="1" applyAlignment="1">
      <alignment vertical="center"/>
    </xf>
    <xf numFmtId="0" fontId="12" fillId="10" borderId="10" xfId="2" applyFill="1" applyBorder="1"/>
    <xf numFmtId="0" fontId="12" fillId="0" borderId="0" xfId="2"/>
    <xf numFmtId="0" fontId="12" fillId="10" borderId="0" xfId="2" applyFill="1"/>
    <xf numFmtId="0" fontId="14" fillId="0" borderId="0" xfId="3"/>
  </cellXfs>
  <cellStyles count="4">
    <cellStyle name="Currency" xfId="1" builtinId="4"/>
    <cellStyle name="Hyperlink" xfId="3" builtinId="8"/>
    <cellStyle name="Normal" xfId="0" builtinId="0"/>
    <cellStyle name="Normal 2" xfId="2" xr:uid="{D06160EE-A4BD-4E78-AAED-934DB11EA056}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11724</xdr:colOff>
      <xdr:row>1</xdr:row>
      <xdr:rowOff>5861</xdr:rowOff>
    </xdr:from>
    <xdr:to>
      <xdr:col>13</xdr:col>
      <xdr:colOff>586154</xdr:colOff>
      <xdr:row>9</xdr:row>
      <xdr:rowOff>187569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41792A-A601-4FC3-BF6A-B18C5AE3FF76}"/>
            </a:ext>
          </a:extLst>
        </xdr:cNvPr>
        <xdr:cNvSpPr txBox="1"/>
      </xdr:nvSpPr>
      <xdr:spPr>
        <a:xfrm>
          <a:off x="8546124" y="205886"/>
          <a:ext cx="1793630" cy="178190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AutoFill</a:t>
          </a:r>
          <a:r>
            <a:rPr lang="en-US" sz="1100" b="1" baseline="0"/>
            <a:t> (4 Methods)</a:t>
          </a:r>
        </a:p>
        <a:p>
          <a:endParaRPr lang="en-US" sz="1100" baseline="0"/>
        </a:p>
        <a:p>
          <a:r>
            <a:rPr lang="en-US" sz="1100" baseline="0"/>
            <a:t>1. Double-click</a:t>
          </a:r>
        </a:p>
        <a:p>
          <a:endParaRPr lang="en-US" sz="1100" baseline="0"/>
        </a:p>
        <a:p>
          <a:r>
            <a:rPr lang="en-US" sz="1100" baseline="0"/>
            <a:t>2. Drag down</a:t>
          </a:r>
        </a:p>
        <a:p>
          <a:endParaRPr lang="en-US" sz="1100" baseline="0"/>
        </a:p>
        <a:p>
          <a:r>
            <a:rPr lang="en-US" sz="1100" baseline="0"/>
            <a:t>3. Fill Down button</a:t>
          </a:r>
        </a:p>
        <a:p>
          <a:endParaRPr lang="en-US" sz="1100" baseline="0"/>
        </a:p>
        <a:p>
          <a:r>
            <a:rPr lang="en-US" sz="1100" baseline="0"/>
            <a:t>4. Keyboard Shortcut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0019-4F52-4BA0-AE58-453B45939140}">
  <dimension ref="B1:C15"/>
  <sheetViews>
    <sheetView zoomScale="130" zoomScaleNormal="130" workbookViewId="0">
      <selection activeCell="K7" sqref="K7"/>
    </sheetView>
  </sheetViews>
  <sheetFormatPr defaultRowHeight="15" x14ac:dyDescent="0.25"/>
  <cols>
    <col min="3" max="3" width="11.28515625" bestFit="1" customWidth="1"/>
  </cols>
  <sheetData>
    <row r="1" spans="2:3" ht="15.75" thickBot="1" x14ac:dyDescent="0.3"/>
    <row r="2" spans="2:3" ht="15.75" thickBot="1" x14ac:dyDescent="0.3">
      <c r="B2" s="10"/>
      <c r="C2" s="11">
        <v>2020</v>
      </c>
    </row>
    <row r="3" spans="2:3" ht="15.75" thickBot="1" x14ac:dyDescent="0.3">
      <c r="B3" s="11" t="s">
        <v>13</v>
      </c>
      <c r="C3" s="12">
        <v>20</v>
      </c>
    </row>
    <row r="4" spans="2:3" ht="15.75" thickBot="1" x14ac:dyDescent="0.3">
      <c r="B4" s="11" t="s">
        <v>14</v>
      </c>
      <c r="C4" s="12">
        <v>20</v>
      </c>
    </row>
    <row r="5" spans="2:3" ht="15.75" thickBot="1" x14ac:dyDescent="0.3">
      <c r="B5" s="11" t="s">
        <v>15</v>
      </c>
      <c r="C5" s="12">
        <v>20</v>
      </c>
    </row>
    <row r="6" spans="2:3" ht="15.75" thickBot="1" x14ac:dyDescent="0.3">
      <c r="B6" s="11" t="s">
        <v>16</v>
      </c>
      <c r="C6" s="12">
        <v>15</v>
      </c>
    </row>
    <row r="7" spans="2:3" ht="15.75" thickBot="1" x14ac:dyDescent="0.3">
      <c r="B7" s="11" t="s">
        <v>17</v>
      </c>
      <c r="C7" s="12">
        <v>13</v>
      </c>
    </row>
    <row r="8" spans="2:3" ht="15.75" thickBot="1" x14ac:dyDescent="0.3">
      <c r="B8" s="11" t="s">
        <v>18</v>
      </c>
      <c r="C8" s="12">
        <v>18</v>
      </c>
    </row>
    <row r="9" spans="2:3" ht="15.75" thickBot="1" x14ac:dyDescent="0.3">
      <c r="B9" s="11" t="s">
        <v>19</v>
      </c>
      <c r="C9" s="12">
        <v>10</v>
      </c>
    </row>
    <row r="10" spans="2:3" ht="15.75" thickBot="1" x14ac:dyDescent="0.3">
      <c r="B10" s="11" t="s">
        <v>20</v>
      </c>
      <c r="C10" s="12">
        <v>19</v>
      </c>
    </row>
    <row r="11" spans="2:3" ht="15.75" thickBot="1" x14ac:dyDescent="0.3">
      <c r="B11" s="11" t="s">
        <v>21</v>
      </c>
      <c r="C11" s="12">
        <v>14</v>
      </c>
    </row>
    <row r="12" spans="2:3" ht="15.75" thickBot="1" x14ac:dyDescent="0.3">
      <c r="B12" s="11" t="s">
        <v>22</v>
      </c>
      <c r="C12" s="12">
        <v>17</v>
      </c>
    </row>
    <row r="13" spans="2:3" ht="15.75" thickBot="1" x14ac:dyDescent="0.3">
      <c r="B13" s="11" t="s">
        <v>23</v>
      </c>
      <c r="C13" s="12">
        <v>10</v>
      </c>
    </row>
    <row r="14" spans="2:3" ht="15.75" thickBot="1" x14ac:dyDescent="0.3">
      <c r="B14" s="11" t="s">
        <v>24</v>
      </c>
      <c r="C14" s="12">
        <v>17</v>
      </c>
    </row>
    <row r="15" spans="2:3" ht="15.75" thickBot="1" x14ac:dyDescent="0.3">
      <c r="B15" s="11" t="s">
        <v>25</v>
      </c>
      <c r="C15" s="12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FC4A-A30E-4E91-A7D3-DA68A878AA46}">
  <dimension ref="A1:C6"/>
  <sheetViews>
    <sheetView zoomScale="130" zoomScaleNormal="130" workbookViewId="0">
      <selection activeCell="C9" sqref="C9"/>
    </sheetView>
  </sheetViews>
  <sheetFormatPr defaultRowHeight="15" x14ac:dyDescent="0.25"/>
  <cols>
    <col min="2" max="2" width="12.7109375" customWidth="1"/>
    <col min="3" max="3" width="28" customWidth="1"/>
  </cols>
  <sheetData>
    <row r="1" spans="1:3" s="2" customFormat="1" ht="20.25" x14ac:dyDescent="0.35">
      <c r="A1" s="2" t="s">
        <v>30</v>
      </c>
    </row>
    <row r="2" spans="1:3" ht="15.75" thickBot="1" x14ac:dyDescent="0.3"/>
    <row r="3" spans="1:3" ht="32.25" thickBot="1" x14ac:dyDescent="0.3">
      <c r="B3" s="14" t="s">
        <v>26</v>
      </c>
      <c r="C3" s="13" t="s">
        <v>11</v>
      </c>
    </row>
    <row r="4" spans="1:3" ht="32.25" thickBot="1" x14ac:dyDescent="0.3">
      <c r="B4" s="14" t="s">
        <v>27</v>
      </c>
      <c r="C4" s="13" t="s">
        <v>12</v>
      </c>
    </row>
    <row r="5" spans="1:3" ht="32.25" thickBot="1" x14ac:dyDescent="0.3">
      <c r="B5" s="14" t="s">
        <v>28</v>
      </c>
      <c r="C5" s="13" t="s">
        <v>10</v>
      </c>
    </row>
    <row r="6" spans="1:3" ht="32.25" thickBot="1" x14ac:dyDescent="0.3">
      <c r="B6" s="14" t="s">
        <v>29</v>
      </c>
      <c r="C6" s="1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3AD3C-EC19-4F5E-A4DD-376EF6DE5B3E}">
  <dimension ref="A1:F9"/>
  <sheetViews>
    <sheetView zoomScale="120" zoomScaleNormal="120" workbookViewId="0">
      <selection activeCell="H14" sqref="H14"/>
    </sheetView>
  </sheetViews>
  <sheetFormatPr defaultColWidth="8.85546875" defaultRowHeight="16.5" x14ac:dyDescent="0.3"/>
  <cols>
    <col min="1" max="1" width="8.85546875" style="1"/>
    <col min="2" max="2" width="17.7109375" style="1" customWidth="1"/>
    <col min="3" max="3" width="27.5703125" style="1" customWidth="1"/>
    <col min="4" max="4" width="8.85546875" style="1"/>
    <col min="5" max="5" width="18.85546875" style="1" customWidth="1"/>
    <col min="6" max="6" width="24.42578125" style="1" customWidth="1"/>
    <col min="7" max="16384" width="8.85546875" style="1"/>
  </cols>
  <sheetData>
    <row r="1" spans="1:6" s="2" customFormat="1" ht="20.25" x14ac:dyDescent="0.35">
      <c r="A1" s="2" t="s">
        <v>0</v>
      </c>
    </row>
    <row r="4" spans="1:6" ht="26.25" x14ac:dyDescent="0.45">
      <c r="B4" s="3" t="s">
        <v>1</v>
      </c>
      <c r="C4" s="9" t="s">
        <v>7</v>
      </c>
      <c r="E4" s="3" t="s">
        <v>31</v>
      </c>
      <c r="F4" s="9" t="s">
        <v>32</v>
      </c>
    </row>
    <row r="5" spans="1:6" ht="26.25" x14ac:dyDescent="0.45">
      <c r="B5" s="4" t="s">
        <v>2</v>
      </c>
      <c r="C5" s="9" t="s">
        <v>8</v>
      </c>
      <c r="E5" s="4" t="s">
        <v>33</v>
      </c>
      <c r="F5" s="9" t="s">
        <v>34</v>
      </c>
    </row>
    <row r="6" spans="1:6" ht="26.25" x14ac:dyDescent="0.45">
      <c r="B6" s="5" t="s">
        <v>3</v>
      </c>
      <c r="C6" s="9" t="s">
        <v>9</v>
      </c>
      <c r="E6" s="5" t="s">
        <v>3</v>
      </c>
      <c r="F6" s="9" t="s">
        <v>9</v>
      </c>
    </row>
    <row r="7" spans="1:6" ht="26.25" x14ac:dyDescent="0.45">
      <c r="B7" s="6" t="s">
        <v>4</v>
      </c>
      <c r="C7" s="9" t="s">
        <v>10</v>
      </c>
      <c r="E7" s="6" t="s">
        <v>4</v>
      </c>
      <c r="F7" s="9" t="s">
        <v>10</v>
      </c>
    </row>
    <row r="8" spans="1:6" ht="26.25" x14ac:dyDescent="0.45">
      <c r="B8" s="7" t="s">
        <v>5</v>
      </c>
      <c r="C8" s="9" t="s">
        <v>11</v>
      </c>
      <c r="E8" s="7" t="s">
        <v>5</v>
      </c>
      <c r="F8" s="9" t="s">
        <v>11</v>
      </c>
    </row>
    <row r="9" spans="1:6" ht="26.25" x14ac:dyDescent="0.45">
      <c r="B9" s="8" t="s">
        <v>6</v>
      </c>
      <c r="C9" s="9" t="s">
        <v>12</v>
      </c>
      <c r="E9" s="8" t="s">
        <v>6</v>
      </c>
      <c r="F9" s="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BD1D-3EE7-4831-BE69-8C426E4AD7BC}">
  <dimension ref="B1:F15"/>
  <sheetViews>
    <sheetView zoomScale="130" zoomScaleNormal="130" workbookViewId="0">
      <selection activeCell="M12" sqref="M12"/>
    </sheetView>
  </sheetViews>
  <sheetFormatPr defaultRowHeight="15" x14ac:dyDescent="0.25"/>
  <cols>
    <col min="3" max="3" width="11.28515625" bestFit="1" customWidth="1"/>
    <col min="4" max="4" width="13.7109375" customWidth="1"/>
    <col min="5" max="6" width="15.28515625" customWidth="1"/>
  </cols>
  <sheetData>
    <row r="1" spans="2:6" ht="15.75" thickBot="1" x14ac:dyDescent="0.3"/>
    <row r="2" spans="2:6" ht="15.75" thickBot="1" x14ac:dyDescent="0.3">
      <c r="B2" s="10"/>
      <c r="C2" s="11">
        <v>2021</v>
      </c>
      <c r="D2" s="11">
        <v>2020</v>
      </c>
      <c r="E2" s="11">
        <v>2019</v>
      </c>
      <c r="F2" s="11">
        <v>2018</v>
      </c>
    </row>
    <row r="3" spans="2:6" ht="15.75" thickBot="1" x14ac:dyDescent="0.3">
      <c r="B3" s="11" t="s">
        <v>13</v>
      </c>
      <c r="C3" s="12">
        <v>4255</v>
      </c>
      <c r="D3" s="12">
        <v>4096</v>
      </c>
      <c r="E3" s="12">
        <v>3151</v>
      </c>
      <c r="F3" s="12">
        <v>3848</v>
      </c>
    </row>
    <row r="4" spans="2:6" ht="15.75" thickBot="1" x14ac:dyDescent="0.3">
      <c r="B4" s="11" t="s">
        <v>14</v>
      </c>
      <c r="C4" s="12">
        <v>4382</v>
      </c>
      <c r="D4" s="12">
        <v>5271</v>
      </c>
      <c r="E4" s="12">
        <v>5712</v>
      </c>
      <c r="F4" s="12">
        <v>3740</v>
      </c>
    </row>
    <row r="5" spans="2:6" ht="15.75" thickBot="1" x14ac:dyDescent="0.3">
      <c r="B5" s="11" t="s">
        <v>15</v>
      </c>
      <c r="C5" s="12">
        <v>4594</v>
      </c>
      <c r="D5" s="12">
        <v>4321</v>
      </c>
      <c r="E5" s="12">
        <v>3181</v>
      </c>
      <c r="F5" s="12">
        <v>5351</v>
      </c>
    </row>
    <row r="6" spans="2:6" ht="15.75" thickBot="1" x14ac:dyDescent="0.3">
      <c r="B6" s="11" t="s">
        <v>16</v>
      </c>
      <c r="C6" s="12">
        <v>4313</v>
      </c>
      <c r="D6" s="12">
        <v>4329</v>
      </c>
      <c r="E6" s="12">
        <v>3693</v>
      </c>
      <c r="F6" s="12">
        <v>5663</v>
      </c>
    </row>
    <row r="7" spans="2:6" ht="15.75" thickBot="1" x14ac:dyDescent="0.3">
      <c r="B7" s="11" t="s">
        <v>17</v>
      </c>
      <c r="C7" s="12">
        <v>4382</v>
      </c>
      <c r="D7" s="12">
        <v>3442</v>
      </c>
      <c r="E7" s="12">
        <v>5956</v>
      </c>
      <c r="F7" s="12">
        <v>4748</v>
      </c>
    </row>
    <row r="8" spans="2:6" ht="15.75" thickBot="1" x14ac:dyDescent="0.3">
      <c r="B8" s="11" t="s">
        <v>18</v>
      </c>
      <c r="C8" s="12">
        <v>5316</v>
      </c>
      <c r="D8" s="12">
        <v>4315</v>
      </c>
      <c r="E8" s="12">
        <v>4410</v>
      </c>
      <c r="F8" s="12">
        <v>3648</v>
      </c>
    </row>
    <row r="9" spans="2:6" ht="15.75" thickBot="1" x14ac:dyDescent="0.3">
      <c r="B9" s="11" t="s">
        <v>19</v>
      </c>
      <c r="C9" s="12">
        <v>4482</v>
      </c>
      <c r="D9" s="12">
        <v>3751</v>
      </c>
      <c r="E9" s="12">
        <v>4935</v>
      </c>
      <c r="F9" s="12">
        <v>4817</v>
      </c>
    </row>
    <row r="10" spans="2:6" ht="15.75" thickBot="1" x14ac:dyDescent="0.3">
      <c r="B10" s="11" t="s">
        <v>20</v>
      </c>
      <c r="C10" s="12">
        <v>5198</v>
      </c>
      <c r="D10" s="12">
        <v>3347</v>
      </c>
      <c r="E10" s="12">
        <v>4519</v>
      </c>
      <c r="F10" s="12">
        <v>4047</v>
      </c>
    </row>
    <row r="11" spans="2:6" ht="15.75" thickBot="1" x14ac:dyDescent="0.3">
      <c r="B11" s="11" t="s">
        <v>21</v>
      </c>
      <c r="C11" s="12">
        <v>5781</v>
      </c>
      <c r="D11" s="12">
        <v>3886</v>
      </c>
      <c r="E11" s="12">
        <v>3835</v>
      </c>
      <c r="F11" s="12">
        <v>5898</v>
      </c>
    </row>
    <row r="12" spans="2:6" ht="15.75" thickBot="1" x14ac:dyDescent="0.3">
      <c r="B12" s="11" t="s">
        <v>22</v>
      </c>
      <c r="C12" s="12">
        <v>4083</v>
      </c>
      <c r="D12" s="12">
        <v>5898</v>
      </c>
      <c r="E12" s="12">
        <v>5450</v>
      </c>
      <c r="F12" s="12">
        <v>3236</v>
      </c>
    </row>
    <row r="13" spans="2:6" ht="15.75" thickBot="1" x14ac:dyDescent="0.3">
      <c r="B13" s="11" t="s">
        <v>23</v>
      </c>
      <c r="C13" s="12">
        <v>5705</v>
      </c>
      <c r="D13" s="12">
        <v>3017</v>
      </c>
      <c r="E13" s="12">
        <v>3724</v>
      </c>
      <c r="F13" s="12">
        <v>4632</v>
      </c>
    </row>
    <row r="14" spans="2:6" ht="15.75" thickBot="1" x14ac:dyDescent="0.3">
      <c r="B14" s="11" t="s">
        <v>24</v>
      </c>
      <c r="C14" s="12">
        <v>3958</v>
      </c>
      <c r="D14" s="12">
        <v>4697</v>
      </c>
      <c r="E14" s="12">
        <v>5944</v>
      </c>
      <c r="F14" s="12">
        <v>3272</v>
      </c>
    </row>
    <row r="15" spans="2:6" ht="15.75" thickBot="1" x14ac:dyDescent="0.3">
      <c r="B15" s="11" t="s">
        <v>25</v>
      </c>
      <c r="C15" s="12"/>
      <c r="D15" s="12"/>
      <c r="E15" s="12"/>
      <c r="F15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C89E3-B467-46E1-B100-36DE3A2A381E}">
  <dimension ref="B1:G15"/>
  <sheetViews>
    <sheetView zoomScale="130" zoomScaleNormal="130" workbookViewId="0">
      <selection activeCell="B3" sqref="B3:B15"/>
    </sheetView>
  </sheetViews>
  <sheetFormatPr defaultRowHeight="15" x14ac:dyDescent="0.25"/>
  <cols>
    <col min="2" max="2" width="22.28515625" customWidth="1"/>
    <col min="3" max="3" width="17.28515625" customWidth="1"/>
    <col min="6" max="6" width="17.42578125" customWidth="1"/>
    <col min="7" max="7" width="21.140625" customWidth="1"/>
  </cols>
  <sheetData>
    <row r="1" spans="2:7" x14ac:dyDescent="0.25">
      <c r="G1" s="15"/>
    </row>
    <row r="2" spans="2:7" x14ac:dyDescent="0.25">
      <c r="B2" s="16" t="s">
        <v>35</v>
      </c>
      <c r="C2" s="16" t="s">
        <v>36</v>
      </c>
      <c r="F2" s="16" t="s">
        <v>37</v>
      </c>
      <c r="G2" s="17"/>
    </row>
    <row r="3" spans="2:7" x14ac:dyDescent="0.25">
      <c r="B3" s="18" t="s">
        <v>38</v>
      </c>
      <c r="C3" s="18">
        <v>80</v>
      </c>
    </row>
    <row r="4" spans="2:7" x14ac:dyDescent="0.25">
      <c r="B4" s="18" t="s">
        <v>39</v>
      </c>
      <c r="C4" s="18">
        <v>95</v>
      </c>
    </row>
    <row r="5" spans="2:7" x14ac:dyDescent="0.25">
      <c r="B5" s="18" t="s">
        <v>40</v>
      </c>
      <c r="C5" s="18">
        <v>100</v>
      </c>
    </row>
    <row r="6" spans="2:7" x14ac:dyDescent="0.25">
      <c r="B6" s="18" t="s">
        <v>41</v>
      </c>
      <c r="C6" s="18">
        <v>75</v>
      </c>
    </row>
    <row r="7" spans="2:7" x14ac:dyDescent="0.25">
      <c r="B7" s="18" t="s">
        <v>42</v>
      </c>
      <c r="C7" s="18">
        <v>87</v>
      </c>
    </row>
    <row r="8" spans="2:7" x14ac:dyDescent="0.25">
      <c r="B8" s="18" t="s">
        <v>43</v>
      </c>
      <c r="C8" s="18">
        <v>45</v>
      </c>
    </row>
    <row r="9" spans="2:7" x14ac:dyDescent="0.25">
      <c r="B9" s="18" t="s">
        <v>44</v>
      </c>
      <c r="C9" s="18">
        <v>40</v>
      </c>
    </row>
    <row r="10" spans="2:7" x14ac:dyDescent="0.25">
      <c r="B10" s="18" t="s">
        <v>45</v>
      </c>
      <c r="C10" s="18">
        <v>65</v>
      </c>
    </row>
    <row r="11" spans="2:7" x14ac:dyDescent="0.25">
      <c r="B11" s="18" t="s">
        <v>46</v>
      </c>
      <c r="C11" s="18">
        <v>72</v>
      </c>
    </row>
    <row r="12" spans="2:7" x14ac:dyDescent="0.25">
      <c r="B12" s="18" t="s">
        <v>47</v>
      </c>
      <c r="C12" s="18">
        <v>75</v>
      </c>
    </row>
    <row r="13" spans="2:7" x14ac:dyDescent="0.25">
      <c r="B13" s="18" t="s">
        <v>48</v>
      </c>
      <c r="C13" s="18">
        <v>96</v>
      </c>
    </row>
    <row r="14" spans="2:7" x14ac:dyDescent="0.25">
      <c r="B14" s="18" t="s">
        <v>49</v>
      </c>
      <c r="C14" s="18">
        <v>100</v>
      </c>
    </row>
    <row r="15" spans="2:7" x14ac:dyDescent="0.25">
      <c r="B15" s="18" t="s">
        <v>50</v>
      </c>
      <c r="C15" s="18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64BB-CCE4-4232-BC09-59993CDB30C9}">
  <dimension ref="B1:G14"/>
  <sheetViews>
    <sheetView zoomScale="130" zoomScaleNormal="130" workbookViewId="0">
      <selection activeCell="I11" sqref="I11"/>
    </sheetView>
  </sheetViews>
  <sheetFormatPr defaultRowHeight="15" x14ac:dyDescent="0.25"/>
  <cols>
    <col min="3" max="6" width="11.28515625" bestFit="1" customWidth="1"/>
    <col min="7" max="7" width="13.42578125" customWidth="1"/>
  </cols>
  <sheetData>
    <row r="1" spans="2:7" ht="15.75" thickBot="1" x14ac:dyDescent="0.3"/>
    <row r="2" spans="2:7" ht="15.75" thickBot="1" x14ac:dyDescent="0.3">
      <c r="B2" s="10"/>
      <c r="C2" s="11">
        <v>2021</v>
      </c>
      <c r="D2" s="11">
        <v>2020</v>
      </c>
      <c r="E2" s="11">
        <v>2019</v>
      </c>
      <c r="F2" s="11">
        <v>2018</v>
      </c>
      <c r="G2" s="19" t="s">
        <v>51</v>
      </c>
    </row>
    <row r="3" spans="2:7" ht="15.75" thickBot="1" x14ac:dyDescent="0.3">
      <c r="B3" s="11" t="s">
        <v>13</v>
      </c>
      <c r="C3" s="12">
        <v>9936</v>
      </c>
      <c r="D3" s="12">
        <v>7834</v>
      </c>
      <c r="E3" s="12">
        <v>6247</v>
      </c>
      <c r="F3" s="12">
        <v>8533</v>
      </c>
      <c r="G3" s="20"/>
    </row>
    <row r="4" spans="2:7" ht="15.75" thickBot="1" x14ac:dyDescent="0.3">
      <c r="B4" s="11" t="s">
        <v>14</v>
      </c>
      <c r="C4" s="12">
        <v>5146</v>
      </c>
      <c r="D4" s="12">
        <v>8727</v>
      </c>
      <c r="E4" s="12">
        <v>6596</v>
      </c>
      <c r="F4" s="12">
        <v>8104</v>
      </c>
      <c r="G4" s="20"/>
    </row>
    <row r="5" spans="2:7" ht="15.75" thickBot="1" x14ac:dyDescent="0.3">
      <c r="B5" s="11" t="s">
        <v>15</v>
      </c>
      <c r="C5" s="12">
        <v>7789</v>
      </c>
      <c r="D5" s="12">
        <v>8250</v>
      </c>
      <c r="E5" s="12">
        <v>5200</v>
      </c>
      <c r="F5" s="12">
        <v>5081</v>
      </c>
      <c r="G5" s="20"/>
    </row>
    <row r="6" spans="2:7" ht="15.75" thickBot="1" x14ac:dyDescent="0.3">
      <c r="B6" s="11" t="s">
        <v>16</v>
      </c>
      <c r="C6" s="12">
        <v>9943</v>
      </c>
      <c r="D6" s="12">
        <v>6422</v>
      </c>
      <c r="E6" s="12">
        <v>8222</v>
      </c>
      <c r="F6" s="12">
        <v>6360</v>
      </c>
      <c r="G6" s="20"/>
    </row>
    <row r="7" spans="2:7" ht="15.75" thickBot="1" x14ac:dyDescent="0.3">
      <c r="B7" s="11" t="s">
        <v>17</v>
      </c>
      <c r="C7" s="12">
        <v>7634</v>
      </c>
      <c r="D7" s="12">
        <v>7356</v>
      </c>
      <c r="E7" s="12">
        <v>7118</v>
      </c>
      <c r="F7" s="12">
        <v>5484</v>
      </c>
      <c r="G7" s="20"/>
    </row>
    <row r="8" spans="2:7" ht="15.75" thickBot="1" x14ac:dyDescent="0.3">
      <c r="B8" s="11" t="s">
        <v>18</v>
      </c>
      <c r="C8" s="12">
        <v>8651</v>
      </c>
      <c r="D8" s="12">
        <v>5273</v>
      </c>
      <c r="E8" s="12">
        <v>8714</v>
      </c>
      <c r="F8" s="12">
        <v>7997</v>
      </c>
      <c r="G8" s="20"/>
    </row>
    <row r="9" spans="2:7" ht="15.75" thickBot="1" x14ac:dyDescent="0.3">
      <c r="B9" s="11" t="s">
        <v>19</v>
      </c>
      <c r="C9" s="12">
        <v>8029</v>
      </c>
      <c r="D9" s="12">
        <v>5538</v>
      </c>
      <c r="E9" s="12">
        <v>6244</v>
      </c>
      <c r="F9" s="12">
        <v>7908</v>
      </c>
      <c r="G9" s="20"/>
    </row>
    <row r="10" spans="2:7" ht="15.75" thickBot="1" x14ac:dyDescent="0.3">
      <c r="B10" s="11" t="s">
        <v>20</v>
      </c>
      <c r="C10" s="12">
        <v>7029</v>
      </c>
      <c r="D10" s="12">
        <v>9088</v>
      </c>
      <c r="E10" s="12">
        <v>6154</v>
      </c>
      <c r="F10" s="12">
        <v>9438</v>
      </c>
      <c r="G10" s="20"/>
    </row>
    <row r="11" spans="2:7" ht="15.75" thickBot="1" x14ac:dyDescent="0.3">
      <c r="B11" s="11" t="s">
        <v>21</v>
      </c>
      <c r="C11" s="12">
        <v>7478</v>
      </c>
      <c r="D11" s="12">
        <v>7621</v>
      </c>
      <c r="E11" s="12">
        <v>9216</v>
      </c>
      <c r="F11" s="12">
        <v>6957</v>
      </c>
      <c r="G11" s="20"/>
    </row>
    <row r="12" spans="2:7" ht="15.75" thickBot="1" x14ac:dyDescent="0.3">
      <c r="B12" s="11" t="s">
        <v>22</v>
      </c>
      <c r="C12" s="12">
        <v>7619</v>
      </c>
      <c r="D12" s="12">
        <v>5848</v>
      </c>
      <c r="E12" s="12">
        <v>6524</v>
      </c>
      <c r="F12" s="12">
        <v>9581</v>
      </c>
      <c r="G12" s="20"/>
    </row>
    <row r="13" spans="2:7" ht="15.75" thickBot="1" x14ac:dyDescent="0.3">
      <c r="B13" s="11" t="s">
        <v>23</v>
      </c>
      <c r="C13" s="12">
        <v>9393</v>
      </c>
      <c r="D13" s="12">
        <v>8009</v>
      </c>
      <c r="E13" s="12">
        <v>5200</v>
      </c>
      <c r="F13" s="12">
        <v>6435</v>
      </c>
      <c r="G13" s="20"/>
    </row>
    <row r="14" spans="2:7" ht="15.75" thickBot="1" x14ac:dyDescent="0.3">
      <c r="B14" s="11" t="s">
        <v>24</v>
      </c>
      <c r="C14" s="12">
        <v>5803</v>
      </c>
      <c r="D14" s="12">
        <v>8453</v>
      </c>
      <c r="E14" s="12">
        <v>7136</v>
      </c>
      <c r="F14" s="12">
        <v>8145</v>
      </c>
      <c r="G14" s="20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B9F6B-F3AA-41E9-91AA-B995C2A6F2CA}">
  <dimension ref="B1:H14"/>
  <sheetViews>
    <sheetView zoomScale="130" zoomScaleNormal="130" workbookViewId="0">
      <selection activeCell="G3" sqref="G3"/>
    </sheetView>
  </sheetViews>
  <sheetFormatPr defaultRowHeight="15" x14ac:dyDescent="0.25"/>
  <cols>
    <col min="3" max="6" width="11.28515625" bestFit="1" customWidth="1"/>
    <col min="7" max="7" width="14.42578125" bestFit="1" customWidth="1"/>
    <col min="8" max="8" width="14.7109375" bestFit="1" customWidth="1"/>
  </cols>
  <sheetData>
    <row r="1" spans="2:8" ht="15.75" thickBot="1" x14ac:dyDescent="0.3"/>
    <row r="2" spans="2:8" ht="15.75" thickBot="1" x14ac:dyDescent="0.3">
      <c r="B2" s="10"/>
      <c r="C2" s="11">
        <v>2021</v>
      </c>
      <c r="D2" s="11">
        <v>2020</v>
      </c>
      <c r="E2" s="11">
        <v>2019</v>
      </c>
      <c r="F2" s="11">
        <v>2018</v>
      </c>
      <c r="G2" s="19" t="s">
        <v>52</v>
      </c>
      <c r="H2" s="19" t="s">
        <v>53</v>
      </c>
    </row>
    <row r="3" spans="2:8" ht="15.75" thickBot="1" x14ac:dyDescent="0.3">
      <c r="B3" s="11" t="s">
        <v>13</v>
      </c>
      <c r="C3" s="12">
        <v>9936</v>
      </c>
      <c r="D3" s="12">
        <v>7834</v>
      </c>
      <c r="E3" s="12">
        <v>6247</v>
      </c>
      <c r="F3" s="12">
        <v>8533</v>
      </c>
      <c r="G3" s="20"/>
      <c r="H3" s="20"/>
    </row>
    <row r="4" spans="2:8" ht="15.75" thickBot="1" x14ac:dyDescent="0.3">
      <c r="B4" s="11" t="s">
        <v>14</v>
      </c>
      <c r="C4" s="12">
        <v>5146</v>
      </c>
      <c r="D4" s="12">
        <v>8727</v>
      </c>
      <c r="E4" s="12">
        <v>6596</v>
      </c>
      <c r="F4" s="12">
        <v>8104</v>
      </c>
      <c r="G4" s="20"/>
      <c r="H4" s="20"/>
    </row>
    <row r="5" spans="2:8" ht="15.75" thickBot="1" x14ac:dyDescent="0.3">
      <c r="B5" s="11" t="s">
        <v>15</v>
      </c>
      <c r="C5" s="12">
        <v>7789</v>
      </c>
      <c r="D5" s="12">
        <v>8250</v>
      </c>
      <c r="E5" s="12">
        <v>5200</v>
      </c>
      <c r="F5" s="12">
        <v>5081</v>
      </c>
      <c r="G5" s="20"/>
      <c r="H5" s="20"/>
    </row>
    <row r="6" spans="2:8" ht="15.75" thickBot="1" x14ac:dyDescent="0.3">
      <c r="B6" s="11" t="s">
        <v>16</v>
      </c>
      <c r="C6" s="12">
        <v>9943</v>
      </c>
      <c r="D6" s="12">
        <v>6422</v>
      </c>
      <c r="E6" s="12">
        <v>8222</v>
      </c>
      <c r="F6" s="12">
        <v>6360</v>
      </c>
      <c r="G6" s="20"/>
      <c r="H6" s="20"/>
    </row>
    <row r="7" spans="2:8" ht="15.75" thickBot="1" x14ac:dyDescent="0.3">
      <c r="B7" s="11" t="s">
        <v>17</v>
      </c>
      <c r="C7" s="12">
        <v>7634</v>
      </c>
      <c r="D7" s="12">
        <v>7356</v>
      </c>
      <c r="E7" s="12">
        <v>7118</v>
      </c>
      <c r="F7" s="12">
        <v>5484</v>
      </c>
      <c r="G7" s="20"/>
      <c r="H7" s="20"/>
    </row>
    <row r="8" spans="2:8" ht="15.75" thickBot="1" x14ac:dyDescent="0.3">
      <c r="B8" s="11" t="s">
        <v>18</v>
      </c>
      <c r="C8" s="12">
        <v>8651</v>
      </c>
      <c r="D8" s="12">
        <v>5273</v>
      </c>
      <c r="E8" s="12">
        <v>8714</v>
      </c>
      <c r="F8" s="12">
        <v>7997</v>
      </c>
      <c r="G8" s="20"/>
      <c r="H8" s="20"/>
    </row>
    <row r="9" spans="2:8" ht="15.75" thickBot="1" x14ac:dyDescent="0.3">
      <c r="B9" s="11" t="s">
        <v>19</v>
      </c>
      <c r="C9" s="12">
        <v>8029</v>
      </c>
      <c r="D9" s="12">
        <v>5538</v>
      </c>
      <c r="E9" s="12">
        <v>6244</v>
      </c>
      <c r="F9" s="12">
        <v>7908</v>
      </c>
      <c r="G9" s="20"/>
      <c r="H9" s="20"/>
    </row>
    <row r="10" spans="2:8" ht="15.75" thickBot="1" x14ac:dyDescent="0.3">
      <c r="B10" s="11" t="s">
        <v>20</v>
      </c>
      <c r="C10" s="12">
        <v>7029</v>
      </c>
      <c r="D10" s="12">
        <v>9088</v>
      </c>
      <c r="E10" s="12">
        <v>6154</v>
      </c>
      <c r="F10" s="12">
        <v>9438</v>
      </c>
      <c r="G10" s="20"/>
      <c r="H10" s="20"/>
    </row>
    <row r="11" spans="2:8" ht="15.75" thickBot="1" x14ac:dyDescent="0.3">
      <c r="B11" s="11" t="s">
        <v>21</v>
      </c>
      <c r="C11" s="12">
        <v>7478</v>
      </c>
      <c r="D11" s="12">
        <v>7621</v>
      </c>
      <c r="E11" s="12">
        <v>9216</v>
      </c>
      <c r="F11" s="12">
        <v>6957</v>
      </c>
      <c r="G11" s="20"/>
      <c r="H11" s="20"/>
    </row>
    <row r="12" spans="2:8" ht="15.75" thickBot="1" x14ac:dyDescent="0.3">
      <c r="B12" s="11" t="s">
        <v>22</v>
      </c>
      <c r="C12" s="12">
        <v>7619</v>
      </c>
      <c r="D12" s="12">
        <v>5848</v>
      </c>
      <c r="E12" s="12">
        <v>6524</v>
      </c>
      <c r="F12" s="12">
        <v>9581</v>
      </c>
      <c r="G12" s="20"/>
      <c r="H12" s="20"/>
    </row>
    <row r="13" spans="2:8" ht="15.75" thickBot="1" x14ac:dyDescent="0.3">
      <c r="B13" s="11" t="s">
        <v>23</v>
      </c>
      <c r="C13" s="12">
        <v>9393</v>
      </c>
      <c r="D13" s="12">
        <v>8009</v>
      </c>
      <c r="E13" s="12">
        <v>5200</v>
      </c>
      <c r="F13" s="12">
        <v>6435</v>
      </c>
      <c r="G13" s="20"/>
      <c r="H13" s="20"/>
    </row>
    <row r="14" spans="2:8" ht="15.75" thickBot="1" x14ac:dyDescent="0.3">
      <c r="B14" s="11" t="s">
        <v>24</v>
      </c>
      <c r="C14" s="12">
        <v>5803</v>
      </c>
      <c r="D14" s="12">
        <v>8453</v>
      </c>
      <c r="E14" s="12">
        <v>7136</v>
      </c>
      <c r="F14" s="12">
        <v>8145</v>
      </c>
      <c r="G14" s="20"/>
      <c r="H14" s="2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F028-C0A8-4E0E-ACF9-1189B2A715FD}">
  <dimension ref="B1:L14"/>
  <sheetViews>
    <sheetView zoomScale="130" zoomScaleNormal="130" workbookViewId="0">
      <selection activeCell="I10" sqref="I10"/>
    </sheetView>
  </sheetViews>
  <sheetFormatPr defaultRowHeight="15" x14ac:dyDescent="0.25"/>
  <cols>
    <col min="3" max="3" width="11.28515625" bestFit="1" customWidth="1"/>
    <col min="4" max="4" width="13.7109375" customWidth="1"/>
    <col min="5" max="6" width="15.28515625" customWidth="1"/>
    <col min="8" max="8" width="12.42578125" customWidth="1"/>
    <col min="9" max="9" width="18.5703125" customWidth="1"/>
  </cols>
  <sheetData>
    <row r="1" spans="2:12" ht="15.75" thickBot="1" x14ac:dyDescent="0.3"/>
    <row r="2" spans="2:12" ht="15.75" thickBot="1" x14ac:dyDescent="0.3">
      <c r="B2" s="10"/>
      <c r="C2" s="11">
        <v>2021</v>
      </c>
      <c r="D2" s="11">
        <v>2020</v>
      </c>
      <c r="E2" s="11">
        <v>2019</v>
      </c>
      <c r="F2" s="11">
        <v>2018</v>
      </c>
      <c r="L2" s="21"/>
    </row>
    <row r="3" spans="2:12" ht="15.75" thickBot="1" x14ac:dyDescent="0.3">
      <c r="B3" s="11" t="s">
        <v>13</v>
      </c>
      <c r="C3" s="12">
        <v>4255</v>
      </c>
      <c r="D3" s="12">
        <v>4096</v>
      </c>
      <c r="E3" s="12">
        <v>3151</v>
      </c>
      <c r="F3" s="12">
        <v>3848</v>
      </c>
      <c r="H3" t="s">
        <v>54</v>
      </c>
      <c r="I3" t="e" cm="1">
        <f t="array" aca="1" ref="I3" ca="1">SUMX(C14:F14)</f>
        <v>#NAME?</v>
      </c>
    </row>
    <row r="4" spans="2:12" ht="15.75" thickBot="1" x14ac:dyDescent="0.3">
      <c r="B4" s="11" t="s">
        <v>14</v>
      </c>
      <c r="C4" s="12">
        <v>4382</v>
      </c>
      <c r="D4" s="12">
        <v>5271</v>
      </c>
      <c r="E4" s="12">
        <v>5712</v>
      </c>
      <c r="F4" s="12">
        <v>3740</v>
      </c>
      <c r="H4" t="s">
        <v>55</v>
      </c>
      <c r="I4" s="12" t="e">
        <f>SUM(#REF!)</f>
        <v>#REF!</v>
      </c>
    </row>
    <row r="5" spans="2:12" ht="15.75" thickBot="1" x14ac:dyDescent="0.3">
      <c r="B5" s="11" t="s">
        <v>15</v>
      </c>
      <c r="C5" s="12">
        <v>4594</v>
      </c>
      <c r="D5" s="12">
        <v>4321</v>
      </c>
      <c r="E5" s="12">
        <v>3181</v>
      </c>
      <c r="F5" s="12">
        <v>5351</v>
      </c>
      <c r="H5" t="s">
        <v>56</v>
      </c>
      <c r="I5" t="e">
        <f>1/0</f>
        <v>#DIV/0!</v>
      </c>
    </row>
    <row r="6" spans="2:12" ht="15.75" thickBot="1" x14ac:dyDescent="0.3">
      <c r="B6" s="11" t="s">
        <v>16</v>
      </c>
      <c r="C6" s="12">
        <v>4313</v>
      </c>
      <c r="D6" s="12">
        <v>4329</v>
      </c>
      <c r="E6" s="12">
        <v>3693</v>
      </c>
      <c r="F6" s="12">
        <v>5663</v>
      </c>
    </row>
    <row r="7" spans="2:12" ht="15.75" thickBot="1" x14ac:dyDescent="0.3">
      <c r="B7" s="11" t="s">
        <v>17</v>
      </c>
      <c r="C7" s="12">
        <v>4382</v>
      </c>
      <c r="D7" s="12">
        <v>3442</v>
      </c>
      <c r="E7" s="12">
        <v>5956</v>
      </c>
      <c r="F7" s="12">
        <v>4748</v>
      </c>
    </row>
    <row r="8" spans="2:12" ht="15.75" thickBot="1" x14ac:dyDescent="0.3">
      <c r="B8" s="11" t="s">
        <v>18</v>
      </c>
      <c r="C8" s="12">
        <v>5316</v>
      </c>
      <c r="D8" s="12">
        <v>4315</v>
      </c>
      <c r="E8" s="12">
        <v>4410</v>
      </c>
      <c r="F8" s="12">
        <v>3648</v>
      </c>
    </row>
    <row r="9" spans="2:12" ht="15.75" thickBot="1" x14ac:dyDescent="0.3">
      <c r="B9" s="11" t="s">
        <v>19</v>
      </c>
      <c r="C9" s="12">
        <v>4482</v>
      </c>
      <c r="D9" s="12">
        <v>3751</v>
      </c>
      <c r="E9" s="12">
        <v>4935</v>
      </c>
      <c r="F9" s="12">
        <v>4817</v>
      </c>
    </row>
    <row r="10" spans="2:12" ht="15.75" thickBot="1" x14ac:dyDescent="0.3">
      <c r="B10" s="11" t="s">
        <v>20</v>
      </c>
      <c r="C10" s="12">
        <v>5198</v>
      </c>
      <c r="D10" s="12">
        <v>3347</v>
      </c>
      <c r="E10" s="12">
        <v>4519</v>
      </c>
      <c r="F10" s="12">
        <v>4047</v>
      </c>
    </row>
    <row r="11" spans="2:12" ht="15.75" thickBot="1" x14ac:dyDescent="0.3">
      <c r="B11" s="11" t="s">
        <v>21</v>
      </c>
      <c r="C11" s="12">
        <v>5781</v>
      </c>
      <c r="D11" s="12">
        <v>3886</v>
      </c>
      <c r="E11" s="12">
        <v>3835</v>
      </c>
      <c r="F11" s="12">
        <v>5898</v>
      </c>
    </row>
    <row r="12" spans="2:12" ht="15.75" thickBot="1" x14ac:dyDescent="0.3">
      <c r="B12" s="11" t="s">
        <v>22</v>
      </c>
      <c r="C12" s="12">
        <v>4083</v>
      </c>
      <c r="D12" s="12">
        <v>5898</v>
      </c>
      <c r="E12" s="12">
        <v>5450</v>
      </c>
      <c r="F12" s="12">
        <v>3236</v>
      </c>
    </row>
    <row r="13" spans="2:12" ht="15.75" thickBot="1" x14ac:dyDescent="0.3">
      <c r="B13" s="11" t="s">
        <v>23</v>
      </c>
      <c r="C13" s="12">
        <v>5705</v>
      </c>
      <c r="D13" s="12">
        <v>3017</v>
      </c>
      <c r="E13" s="12">
        <v>3724</v>
      </c>
      <c r="F13" s="12">
        <v>4632</v>
      </c>
    </row>
    <row r="14" spans="2:12" ht="15.75" thickBot="1" x14ac:dyDescent="0.3">
      <c r="B14" s="11" t="s">
        <v>25</v>
      </c>
      <c r="C14" s="12">
        <f>SUM(C3:C13)</f>
        <v>52491</v>
      </c>
      <c r="D14" s="12">
        <f t="shared" ref="D14:F14" si="0">SUM(D3:D13)</f>
        <v>45673</v>
      </c>
      <c r="E14" s="12">
        <f t="shared" si="0"/>
        <v>48566</v>
      </c>
      <c r="F14" s="12">
        <f t="shared" si="0"/>
        <v>49628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A4AD3-E37E-49C0-B04A-048EF9A02D4B}">
  <dimension ref="A1:J51"/>
  <sheetViews>
    <sheetView topLeftCell="A14" workbookViewId="0">
      <selection activeCell="A30" sqref="A30:A31"/>
    </sheetView>
  </sheetViews>
  <sheetFormatPr defaultColWidth="8.85546875" defaultRowHeight="16.5" x14ac:dyDescent="0.3"/>
  <cols>
    <col min="1" max="1" width="29" style="1" bestFit="1" customWidth="1"/>
    <col min="2" max="2" width="27.7109375" style="1" customWidth="1"/>
    <col min="3" max="3" width="9.140625" style="1" customWidth="1"/>
    <col min="4" max="4" width="14.5703125" style="29" customWidth="1"/>
    <col min="5" max="5" width="19.140625" style="28" customWidth="1"/>
    <col min="6" max="6" width="21.140625" style="28" bestFit="1" customWidth="1"/>
    <col min="7" max="8" width="8.85546875" style="1"/>
    <col min="9" max="9" width="11.7109375" style="1" customWidth="1"/>
    <col min="10" max="10" width="14.5703125" style="1" customWidth="1"/>
    <col min="11" max="16384" width="8.85546875" style="1"/>
  </cols>
  <sheetData>
    <row r="1" spans="1:10" ht="17.25" x14ac:dyDescent="0.3">
      <c r="A1" s="22" t="s">
        <v>57</v>
      </c>
      <c r="B1" s="22" t="s">
        <v>58</v>
      </c>
      <c r="C1" s="22" t="s">
        <v>59</v>
      </c>
      <c r="D1" s="23" t="s">
        <v>60</v>
      </c>
      <c r="E1" s="24" t="s">
        <v>61</v>
      </c>
      <c r="F1" s="24" t="s">
        <v>62</v>
      </c>
      <c r="I1" s="25" t="s">
        <v>61</v>
      </c>
      <c r="J1" s="26">
        <v>0.02</v>
      </c>
    </row>
    <row r="2" spans="1:10" x14ac:dyDescent="0.3">
      <c r="A2" s="1" t="s">
        <v>63</v>
      </c>
      <c r="B2" s="1" t="s">
        <v>64</v>
      </c>
      <c r="C2" s="1">
        <v>5</v>
      </c>
      <c r="D2" s="27">
        <v>34878</v>
      </c>
    </row>
    <row r="3" spans="1:10" x14ac:dyDescent="0.3">
      <c r="A3" s="1" t="s">
        <v>65</v>
      </c>
      <c r="B3" s="1" t="s">
        <v>64</v>
      </c>
      <c r="C3" s="1">
        <v>14</v>
      </c>
      <c r="D3" s="27">
        <v>43525</v>
      </c>
    </row>
    <row r="4" spans="1:10" x14ac:dyDescent="0.3">
      <c r="A4" s="1" t="s">
        <v>66</v>
      </c>
      <c r="B4" s="1" t="s">
        <v>67</v>
      </c>
      <c r="C4" s="1">
        <v>6</v>
      </c>
      <c r="D4" s="27">
        <v>49784</v>
      </c>
    </row>
    <row r="5" spans="1:10" x14ac:dyDescent="0.3">
      <c r="A5" s="1" t="s">
        <v>68</v>
      </c>
      <c r="B5" s="1" t="s">
        <v>69</v>
      </c>
      <c r="C5" s="1">
        <v>18</v>
      </c>
      <c r="D5" s="27">
        <v>36727</v>
      </c>
    </row>
    <row r="6" spans="1:10" x14ac:dyDescent="0.3">
      <c r="A6" s="1" t="s">
        <v>70</v>
      </c>
      <c r="B6" s="1" t="s">
        <v>64</v>
      </c>
      <c r="C6" s="1">
        <v>17</v>
      </c>
      <c r="D6" s="27">
        <v>44658</v>
      </c>
    </row>
    <row r="7" spans="1:10" x14ac:dyDescent="0.3">
      <c r="A7" s="1" t="s">
        <v>71</v>
      </c>
      <c r="B7" s="1" t="s">
        <v>72</v>
      </c>
      <c r="C7" s="1">
        <v>13</v>
      </c>
      <c r="D7" s="27">
        <v>26191</v>
      </c>
    </row>
    <row r="8" spans="1:10" x14ac:dyDescent="0.3">
      <c r="A8" s="1" t="s">
        <v>73</v>
      </c>
      <c r="B8" s="1" t="s">
        <v>74</v>
      </c>
      <c r="C8" s="1">
        <v>3</v>
      </c>
      <c r="D8" s="27">
        <v>63219</v>
      </c>
    </row>
    <row r="9" spans="1:10" x14ac:dyDescent="0.3">
      <c r="A9" s="1" t="s">
        <v>75</v>
      </c>
      <c r="B9" s="1" t="s">
        <v>64</v>
      </c>
      <c r="C9" s="1">
        <v>2</v>
      </c>
      <c r="D9" s="27">
        <v>65180</v>
      </c>
    </row>
    <row r="10" spans="1:10" x14ac:dyDescent="0.3">
      <c r="A10" s="1" t="s">
        <v>76</v>
      </c>
      <c r="B10" s="1" t="s">
        <v>74</v>
      </c>
      <c r="C10" s="1">
        <v>12</v>
      </c>
      <c r="D10" s="27">
        <v>36115</v>
      </c>
    </row>
    <row r="11" spans="1:10" x14ac:dyDescent="0.3">
      <c r="A11" s="1" t="s">
        <v>77</v>
      </c>
      <c r="B11" s="1" t="s">
        <v>72</v>
      </c>
      <c r="C11" s="1">
        <v>7</v>
      </c>
      <c r="D11" s="27">
        <v>36576</v>
      </c>
    </row>
    <row r="12" spans="1:10" x14ac:dyDescent="0.3">
      <c r="A12" s="1" t="s">
        <v>78</v>
      </c>
      <c r="B12" s="1" t="s">
        <v>67</v>
      </c>
      <c r="C12" s="1">
        <v>3</v>
      </c>
      <c r="D12" s="27">
        <v>46832</v>
      </c>
    </row>
    <row r="13" spans="1:10" x14ac:dyDescent="0.3">
      <c r="A13" s="1" t="s">
        <v>79</v>
      </c>
      <c r="B13" s="1" t="s">
        <v>74</v>
      </c>
      <c r="C13" s="1">
        <v>5</v>
      </c>
      <c r="D13" s="27">
        <v>55211</v>
      </c>
    </row>
    <row r="14" spans="1:10" x14ac:dyDescent="0.3">
      <c r="A14" s="1" t="s">
        <v>80</v>
      </c>
      <c r="B14" s="1" t="s">
        <v>64</v>
      </c>
      <c r="C14" s="1">
        <v>2</v>
      </c>
      <c r="D14" s="27">
        <v>39745</v>
      </c>
    </row>
    <row r="15" spans="1:10" x14ac:dyDescent="0.3">
      <c r="A15" s="1" t="s">
        <v>81</v>
      </c>
      <c r="B15" s="1" t="s">
        <v>64</v>
      </c>
      <c r="C15" s="1">
        <v>16</v>
      </c>
      <c r="D15" s="27">
        <v>52100</v>
      </c>
    </row>
    <row r="16" spans="1:10" x14ac:dyDescent="0.3">
      <c r="A16" s="1" t="s">
        <v>82</v>
      </c>
      <c r="B16" s="1" t="s">
        <v>67</v>
      </c>
      <c r="C16" s="1">
        <v>4</v>
      </c>
      <c r="D16" s="27">
        <v>40004</v>
      </c>
    </row>
    <row r="17" spans="1:4" x14ac:dyDescent="0.3">
      <c r="A17" s="1" t="s">
        <v>83</v>
      </c>
      <c r="B17" s="1" t="s">
        <v>69</v>
      </c>
      <c r="C17" s="1">
        <v>8</v>
      </c>
      <c r="D17" s="27">
        <v>79234</v>
      </c>
    </row>
    <row r="18" spans="1:4" x14ac:dyDescent="0.3">
      <c r="A18" s="1" t="s">
        <v>84</v>
      </c>
      <c r="B18" s="1" t="s">
        <v>64</v>
      </c>
      <c r="C18" s="1">
        <v>12</v>
      </c>
      <c r="D18" s="27">
        <v>58293</v>
      </c>
    </row>
    <row r="19" spans="1:4" x14ac:dyDescent="0.3">
      <c r="A19" s="1" t="s">
        <v>85</v>
      </c>
      <c r="B19" s="1" t="s">
        <v>72</v>
      </c>
      <c r="C19" s="1">
        <v>16</v>
      </c>
      <c r="D19" s="27">
        <v>40521</v>
      </c>
    </row>
    <row r="20" spans="1:4" x14ac:dyDescent="0.3">
      <c r="A20" s="1" t="s">
        <v>86</v>
      </c>
      <c r="B20" s="1" t="s">
        <v>74</v>
      </c>
      <c r="C20" s="1">
        <v>3</v>
      </c>
      <c r="D20" s="27">
        <v>27714</v>
      </c>
    </row>
    <row r="21" spans="1:4" x14ac:dyDescent="0.3">
      <c r="A21" s="1" t="s">
        <v>87</v>
      </c>
      <c r="B21" s="1" t="s">
        <v>64</v>
      </c>
      <c r="C21" s="1">
        <v>4</v>
      </c>
      <c r="D21" s="27">
        <v>66640</v>
      </c>
    </row>
    <row r="22" spans="1:4" x14ac:dyDescent="0.3">
      <c r="A22" s="1" t="s">
        <v>88</v>
      </c>
      <c r="B22" s="1" t="s">
        <v>74</v>
      </c>
      <c r="C22" s="1">
        <v>11</v>
      </c>
      <c r="D22" s="27">
        <v>32643</v>
      </c>
    </row>
    <row r="23" spans="1:4" x14ac:dyDescent="0.3">
      <c r="A23" s="1" t="s">
        <v>89</v>
      </c>
      <c r="B23" s="1" t="s">
        <v>72</v>
      </c>
      <c r="C23" s="1">
        <v>3</v>
      </c>
      <c r="D23" s="27">
        <v>60673</v>
      </c>
    </row>
    <row r="24" spans="1:4" x14ac:dyDescent="0.3">
      <c r="A24" s="1" t="s">
        <v>90</v>
      </c>
      <c r="B24" s="1" t="s">
        <v>67</v>
      </c>
      <c r="C24" s="1">
        <v>14</v>
      </c>
      <c r="D24" s="27">
        <v>35943</v>
      </c>
    </row>
    <row r="25" spans="1:4" x14ac:dyDescent="0.3">
      <c r="A25" s="1" t="s">
        <v>91</v>
      </c>
      <c r="B25" s="1" t="s">
        <v>74</v>
      </c>
      <c r="C25" s="1">
        <v>17</v>
      </c>
      <c r="D25" s="27">
        <v>37250</v>
      </c>
    </row>
    <row r="26" spans="1:4" x14ac:dyDescent="0.3">
      <c r="A26" s="1" t="s">
        <v>92</v>
      </c>
      <c r="B26" s="1" t="s">
        <v>64</v>
      </c>
      <c r="C26" s="1">
        <v>11</v>
      </c>
      <c r="D26" s="27">
        <v>57185</v>
      </c>
    </row>
    <row r="27" spans="1:4" x14ac:dyDescent="0.3">
      <c r="A27" s="1" t="s">
        <v>93</v>
      </c>
      <c r="B27" s="1" t="s">
        <v>64</v>
      </c>
      <c r="C27" s="1">
        <v>4</v>
      </c>
      <c r="D27" s="27">
        <v>62631</v>
      </c>
    </row>
    <row r="28" spans="1:4" x14ac:dyDescent="0.3">
      <c r="A28" s="1" t="s">
        <v>94</v>
      </c>
      <c r="B28" s="1" t="s">
        <v>67</v>
      </c>
      <c r="C28" s="1">
        <v>19</v>
      </c>
      <c r="D28" s="27">
        <v>34688</v>
      </c>
    </row>
    <row r="29" spans="1:4" x14ac:dyDescent="0.3">
      <c r="A29" s="1" t="s">
        <v>95</v>
      </c>
      <c r="B29" s="1" t="s">
        <v>69</v>
      </c>
      <c r="C29" s="1">
        <v>2</v>
      </c>
      <c r="D29" s="27">
        <v>39300</v>
      </c>
    </row>
    <row r="30" spans="1:4" x14ac:dyDescent="0.3">
      <c r="A30" s="1" t="s">
        <v>96</v>
      </c>
      <c r="B30" s="1" t="s">
        <v>64</v>
      </c>
      <c r="C30" s="1">
        <v>12</v>
      </c>
      <c r="D30" s="27">
        <v>64025</v>
      </c>
    </row>
    <row r="31" spans="1:4" x14ac:dyDescent="0.3">
      <c r="A31" s="1" t="s">
        <v>97</v>
      </c>
      <c r="B31" s="1" t="s">
        <v>72</v>
      </c>
      <c r="C31" s="1">
        <v>17</v>
      </c>
      <c r="D31" s="27">
        <v>72546</v>
      </c>
    </row>
    <row r="32" spans="1:4" x14ac:dyDescent="0.3">
      <c r="A32" s="1" t="s">
        <v>98</v>
      </c>
      <c r="B32" s="1" t="s">
        <v>74</v>
      </c>
      <c r="C32" s="1">
        <v>20</v>
      </c>
      <c r="D32" s="27">
        <v>71389</v>
      </c>
    </row>
    <row r="33" spans="1:4" x14ac:dyDescent="0.3">
      <c r="A33" s="1" t="s">
        <v>99</v>
      </c>
      <c r="B33" s="1" t="s">
        <v>64</v>
      </c>
      <c r="C33" s="1">
        <v>6</v>
      </c>
      <c r="D33" s="27">
        <v>78146</v>
      </c>
    </row>
    <row r="34" spans="1:4" x14ac:dyDescent="0.3">
      <c r="A34" s="1" t="s">
        <v>100</v>
      </c>
      <c r="B34" s="1" t="s">
        <v>74</v>
      </c>
      <c r="C34" s="1">
        <v>15</v>
      </c>
      <c r="D34" s="27">
        <v>54981</v>
      </c>
    </row>
    <row r="35" spans="1:4" x14ac:dyDescent="0.3">
      <c r="A35" s="1" t="s">
        <v>101</v>
      </c>
      <c r="B35" s="1" t="s">
        <v>72</v>
      </c>
      <c r="C35" s="1">
        <v>1</v>
      </c>
      <c r="D35" s="27">
        <v>58516</v>
      </c>
    </row>
    <row r="36" spans="1:4" x14ac:dyDescent="0.3">
      <c r="A36" s="1" t="s">
        <v>102</v>
      </c>
      <c r="B36" s="1" t="s">
        <v>67</v>
      </c>
      <c r="C36" s="1">
        <v>4</v>
      </c>
      <c r="D36" s="27">
        <v>28945</v>
      </c>
    </row>
    <row r="37" spans="1:4" x14ac:dyDescent="0.3">
      <c r="A37" s="1" t="s">
        <v>103</v>
      </c>
      <c r="B37" s="1" t="s">
        <v>74</v>
      </c>
      <c r="C37" s="1">
        <v>7</v>
      </c>
      <c r="D37" s="27">
        <v>41363</v>
      </c>
    </row>
    <row r="38" spans="1:4" x14ac:dyDescent="0.3">
      <c r="A38" s="1" t="s">
        <v>104</v>
      </c>
      <c r="B38" s="1" t="s">
        <v>64</v>
      </c>
      <c r="C38" s="1">
        <v>14</v>
      </c>
      <c r="D38" s="27">
        <v>46935</v>
      </c>
    </row>
    <row r="39" spans="1:4" x14ac:dyDescent="0.3">
      <c r="A39" s="1" t="s">
        <v>105</v>
      </c>
      <c r="B39" s="1" t="s">
        <v>64</v>
      </c>
      <c r="C39" s="1">
        <v>12</v>
      </c>
      <c r="D39" s="27">
        <v>38856</v>
      </c>
    </row>
    <row r="40" spans="1:4" x14ac:dyDescent="0.3">
      <c r="A40" s="1" t="s">
        <v>106</v>
      </c>
      <c r="B40" s="1" t="s">
        <v>67</v>
      </c>
      <c r="C40" s="1">
        <v>6</v>
      </c>
      <c r="D40" s="27">
        <v>58682</v>
      </c>
    </row>
    <row r="41" spans="1:4" x14ac:dyDescent="0.3">
      <c r="A41" s="1" t="s">
        <v>107</v>
      </c>
      <c r="B41" s="1" t="s">
        <v>69</v>
      </c>
      <c r="C41" s="1">
        <v>18</v>
      </c>
      <c r="D41" s="27">
        <v>74534</v>
      </c>
    </row>
    <row r="42" spans="1:4" x14ac:dyDescent="0.3">
      <c r="A42" s="1" t="s">
        <v>108</v>
      </c>
      <c r="B42" s="1" t="s">
        <v>64</v>
      </c>
      <c r="C42" s="1">
        <v>14</v>
      </c>
      <c r="D42" s="27">
        <v>53466</v>
      </c>
    </row>
    <row r="43" spans="1:4" x14ac:dyDescent="0.3">
      <c r="A43" s="1" t="s">
        <v>109</v>
      </c>
      <c r="B43" s="1" t="s">
        <v>72</v>
      </c>
      <c r="C43" s="1">
        <v>7</v>
      </c>
      <c r="D43" s="27">
        <v>63575</v>
      </c>
    </row>
    <row r="44" spans="1:4" x14ac:dyDescent="0.3">
      <c r="A44" s="1" t="s">
        <v>110</v>
      </c>
      <c r="B44" s="1" t="s">
        <v>74</v>
      </c>
      <c r="C44" s="1">
        <v>5</v>
      </c>
      <c r="D44" s="27">
        <v>58063</v>
      </c>
    </row>
    <row r="45" spans="1:4" x14ac:dyDescent="0.3">
      <c r="A45" s="1" t="s">
        <v>111</v>
      </c>
      <c r="B45" s="1" t="s">
        <v>64</v>
      </c>
      <c r="C45" s="1">
        <v>10</v>
      </c>
      <c r="D45" s="27">
        <v>74715</v>
      </c>
    </row>
    <row r="46" spans="1:4" x14ac:dyDescent="0.3">
      <c r="A46" s="1" t="s">
        <v>112</v>
      </c>
      <c r="B46" s="1" t="s">
        <v>74</v>
      </c>
      <c r="C46" s="1">
        <v>6</v>
      </c>
      <c r="D46" s="27">
        <v>68637</v>
      </c>
    </row>
    <row r="47" spans="1:4" x14ac:dyDescent="0.3">
      <c r="A47" s="1" t="s">
        <v>113</v>
      </c>
      <c r="B47" s="1" t="s">
        <v>72</v>
      </c>
      <c r="C47" s="1">
        <v>12</v>
      </c>
      <c r="D47" s="27">
        <v>76768</v>
      </c>
    </row>
    <row r="48" spans="1:4" x14ac:dyDescent="0.3">
      <c r="A48" s="1" t="s">
        <v>114</v>
      </c>
      <c r="B48" s="1" t="s">
        <v>67</v>
      </c>
      <c r="C48" s="1">
        <v>5</v>
      </c>
      <c r="D48" s="27">
        <v>45441</v>
      </c>
    </row>
    <row r="49" spans="1:4" x14ac:dyDescent="0.3">
      <c r="A49" s="1" t="s">
        <v>115</v>
      </c>
      <c r="B49" s="1" t="s">
        <v>74</v>
      </c>
      <c r="C49" s="1">
        <v>8</v>
      </c>
      <c r="D49" s="27">
        <v>22444</v>
      </c>
    </row>
    <row r="50" spans="1:4" x14ac:dyDescent="0.3">
      <c r="A50" s="1" t="s">
        <v>116</v>
      </c>
      <c r="B50" s="1" t="s">
        <v>64</v>
      </c>
      <c r="C50" s="1">
        <v>7</v>
      </c>
      <c r="D50" s="27">
        <v>69822</v>
      </c>
    </row>
    <row r="51" spans="1:4" x14ac:dyDescent="0.3">
      <c r="A51" s="1" t="s">
        <v>117</v>
      </c>
      <c r="B51" s="1" t="s">
        <v>64</v>
      </c>
      <c r="C51" s="1">
        <v>5</v>
      </c>
      <c r="D51" s="27">
        <v>61125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1636-BDBA-478D-8706-3532F999FC4C}">
  <dimension ref="B1:J18"/>
  <sheetViews>
    <sheetView zoomScale="130" zoomScaleNormal="130" workbookViewId="0">
      <selection activeCell="C17" sqref="C17"/>
    </sheetView>
  </sheetViews>
  <sheetFormatPr defaultRowHeight="15" x14ac:dyDescent="0.25"/>
  <cols>
    <col min="2" max="2" width="10.5703125" bestFit="1" customWidth="1"/>
    <col min="3" max="3" width="11.28515625" bestFit="1" customWidth="1"/>
    <col min="4" max="4" width="13.7109375" customWidth="1"/>
    <col min="5" max="6" width="15.28515625" customWidth="1"/>
    <col min="7" max="7" width="12.7109375" customWidth="1"/>
    <col min="8" max="8" width="10.28515625" customWidth="1"/>
    <col min="9" max="9" width="10.5703125" customWidth="1"/>
    <col min="10" max="10" width="10" customWidth="1"/>
  </cols>
  <sheetData>
    <row r="1" spans="2:10" ht="15.75" thickBot="1" x14ac:dyDescent="0.3"/>
    <row r="2" spans="2:10" ht="15.75" thickBot="1" x14ac:dyDescent="0.3">
      <c r="B2" s="10"/>
      <c r="C2" s="11">
        <v>2021</v>
      </c>
      <c r="D2" s="11">
        <v>2020</v>
      </c>
      <c r="E2" s="11">
        <v>2019</v>
      </c>
      <c r="F2" s="11">
        <v>2018</v>
      </c>
      <c r="G2" s="30" t="s">
        <v>25</v>
      </c>
      <c r="H2" s="30" t="s">
        <v>51</v>
      </c>
      <c r="I2" s="30" t="s">
        <v>118</v>
      </c>
      <c r="J2" s="30" t="s">
        <v>119</v>
      </c>
    </row>
    <row r="3" spans="2:10" ht="15.75" thickBot="1" x14ac:dyDescent="0.3">
      <c r="B3" s="11" t="s">
        <v>13</v>
      </c>
      <c r="C3" s="12">
        <v>4255</v>
      </c>
      <c r="D3" s="12">
        <v>4096</v>
      </c>
      <c r="E3" s="12">
        <v>3151</v>
      </c>
      <c r="F3" s="12">
        <v>3848</v>
      </c>
      <c r="G3" s="12"/>
      <c r="H3" s="12"/>
      <c r="I3" s="12"/>
      <c r="J3" s="12"/>
    </row>
    <row r="4" spans="2:10" ht="15.75" thickBot="1" x14ac:dyDescent="0.3">
      <c r="B4" s="11" t="s">
        <v>14</v>
      </c>
      <c r="C4" s="12">
        <v>4382</v>
      </c>
      <c r="D4" s="12">
        <v>5271</v>
      </c>
      <c r="E4" s="12">
        <v>5712</v>
      </c>
      <c r="F4" s="12">
        <v>3740</v>
      </c>
      <c r="G4" s="12"/>
      <c r="H4" s="12"/>
      <c r="I4" s="12"/>
      <c r="J4" s="12"/>
    </row>
    <row r="5" spans="2:10" ht="15.75" thickBot="1" x14ac:dyDescent="0.3">
      <c r="B5" s="11" t="s">
        <v>15</v>
      </c>
      <c r="C5" s="12">
        <v>4594</v>
      </c>
      <c r="D5" s="12">
        <v>4321</v>
      </c>
      <c r="E5" s="12">
        <v>3181</v>
      </c>
      <c r="F5" s="12">
        <v>5351</v>
      </c>
      <c r="G5" s="12"/>
      <c r="H5" s="12"/>
      <c r="I5" s="12"/>
      <c r="J5" s="12"/>
    </row>
    <row r="6" spans="2:10" ht="15.75" thickBot="1" x14ac:dyDescent="0.3">
      <c r="B6" s="11" t="s">
        <v>16</v>
      </c>
      <c r="C6" s="12">
        <v>4313</v>
      </c>
      <c r="D6" s="12">
        <v>4329</v>
      </c>
      <c r="E6" s="12">
        <v>3693</v>
      </c>
      <c r="F6" s="12">
        <v>5663</v>
      </c>
      <c r="G6" s="12"/>
      <c r="H6" s="12"/>
      <c r="I6" s="12"/>
      <c r="J6" s="12"/>
    </row>
    <row r="7" spans="2:10" ht="15.75" thickBot="1" x14ac:dyDescent="0.3">
      <c r="B7" s="11" t="s">
        <v>17</v>
      </c>
      <c r="C7" s="12">
        <v>4382</v>
      </c>
      <c r="D7" s="12">
        <v>3442</v>
      </c>
      <c r="E7" s="12">
        <v>5956</v>
      </c>
      <c r="F7" s="12">
        <v>4748</v>
      </c>
      <c r="G7" s="12"/>
      <c r="H7" s="12"/>
      <c r="I7" s="12"/>
      <c r="J7" s="12"/>
    </row>
    <row r="8" spans="2:10" ht="15.75" thickBot="1" x14ac:dyDescent="0.3">
      <c r="B8" s="11" t="s">
        <v>18</v>
      </c>
      <c r="C8" s="12">
        <v>5316</v>
      </c>
      <c r="D8" s="12">
        <v>4315</v>
      </c>
      <c r="E8" s="12">
        <v>4410</v>
      </c>
      <c r="F8" s="12">
        <v>3648</v>
      </c>
      <c r="G8" s="12"/>
      <c r="H8" s="12"/>
      <c r="I8" s="12"/>
      <c r="J8" s="12"/>
    </row>
    <row r="9" spans="2:10" ht="15.75" thickBot="1" x14ac:dyDescent="0.3">
      <c r="B9" s="11" t="s">
        <v>19</v>
      </c>
      <c r="C9" s="12">
        <v>4482</v>
      </c>
      <c r="D9" s="12">
        <v>3751</v>
      </c>
      <c r="E9" s="12">
        <v>4935</v>
      </c>
      <c r="F9" s="12">
        <v>4817</v>
      </c>
      <c r="G9" s="12"/>
      <c r="H9" s="12"/>
      <c r="I9" s="12"/>
      <c r="J9" s="12"/>
    </row>
    <row r="10" spans="2:10" ht="15.75" thickBot="1" x14ac:dyDescent="0.3">
      <c r="B10" s="11" t="s">
        <v>20</v>
      </c>
      <c r="C10" s="12">
        <v>5198</v>
      </c>
      <c r="D10" s="12">
        <v>3347</v>
      </c>
      <c r="E10" s="12">
        <v>4519</v>
      </c>
      <c r="F10" s="12">
        <v>4047</v>
      </c>
      <c r="G10" s="12"/>
      <c r="H10" s="12"/>
      <c r="I10" s="12"/>
      <c r="J10" s="12"/>
    </row>
    <row r="11" spans="2:10" ht="15.75" thickBot="1" x14ac:dyDescent="0.3">
      <c r="B11" s="11" t="s">
        <v>21</v>
      </c>
      <c r="C11" s="12">
        <v>5781</v>
      </c>
      <c r="D11" s="12">
        <v>3886</v>
      </c>
      <c r="E11" s="12">
        <v>3835</v>
      </c>
      <c r="F11" s="12">
        <v>5898</v>
      </c>
      <c r="G11" s="12"/>
      <c r="H11" s="12"/>
      <c r="I11" s="12"/>
      <c r="J11" s="12"/>
    </row>
    <row r="12" spans="2:10" ht="15.75" thickBot="1" x14ac:dyDescent="0.3">
      <c r="B12" s="11" t="s">
        <v>22</v>
      </c>
      <c r="C12" s="12">
        <v>4083</v>
      </c>
      <c r="D12" s="12">
        <v>5898</v>
      </c>
      <c r="E12" s="12">
        <v>5450</v>
      </c>
      <c r="F12" s="12">
        <v>3236</v>
      </c>
      <c r="G12" s="12"/>
      <c r="H12" s="12"/>
      <c r="I12" s="12"/>
      <c r="J12" s="12"/>
    </row>
    <row r="13" spans="2:10" ht="15.75" thickBot="1" x14ac:dyDescent="0.3">
      <c r="B13" s="11" t="s">
        <v>23</v>
      </c>
      <c r="C13" s="12">
        <v>5705</v>
      </c>
      <c r="D13" s="12">
        <v>3017</v>
      </c>
      <c r="E13" s="12">
        <v>3724</v>
      </c>
      <c r="F13" s="12">
        <v>4632</v>
      </c>
      <c r="G13" s="12"/>
      <c r="H13" s="12"/>
      <c r="I13" s="12"/>
      <c r="J13" s="12"/>
    </row>
    <row r="14" spans="2:10" ht="15.75" thickBot="1" x14ac:dyDescent="0.3">
      <c r="B14" s="11" t="s">
        <v>24</v>
      </c>
      <c r="C14" s="12">
        <v>3958</v>
      </c>
      <c r="D14" s="12">
        <v>4697</v>
      </c>
      <c r="E14" s="12">
        <v>5944</v>
      </c>
      <c r="F14" s="12">
        <v>3272</v>
      </c>
      <c r="G14" s="12"/>
      <c r="H14" s="12"/>
      <c r="I14" s="12"/>
      <c r="J14" s="12"/>
    </row>
    <row r="15" spans="2:10" ht="15.75" thickBot="1" x14ac:dyDescent="0.3">
      <c r="B15" s="31" t="s">
        <v>25</v>
      </c>
      <c r="C15" s="12"/>
      <c r="D15" s="12"/>
      <c r="E15" s="12"/>
      <c r="F15" s="12"/>
      <c r="G15" s="12"/>
      <c r="H15" s="12"/>
      <c r="I15" s="12"/>
      <c r="J15" s="12"/>
    </row>
    <row r="18" spans="4:4" x14ac:dyDescent="0.25">
      <c r="D18" s="32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0E587-32CB-4177-BA84-4ED1315ABD78}">
  <dimension ref="A3:E23"/>
  <sheetViews>
    <sheetView zoomScale="120" zoomScaleNormal="120" workbookViewId="0">
      <selection activeCell="C17" sqref="C17"/>
    </sheetView>
  </sheetViews>
  <sheetFormatPr defaultRowHeight="15" x14ac:dyDescent="0.25"/>
  <cols>
    <col min="1" max="1" width="12.28515625" customWidth="1"/>
    <col min="2" max="2" width="11.7109375" customWidth="1"/>
    <col min="3" max="4" width="10.7109375" customWidth="1"/>
    <col min="5" max="5" width="15.28515625" bestFit="1" customWidth="1"/>
  </cols>
  <sheetData>
    <row r="3" spans="1:5" x14ac:dyDescent="0.25">
      <c r="A3" s="33" t="s">
        <v>120</v>
      </c>
      <c r="B3" s="33" t="s">
        <v>121</v>
      </c>
      <c r="C3" s="33" t="s">
        <v>122</v>
      </c>
      <c r="D3" s="33" t="s">
        <v>123</v>
      </c>
      <c r="E3" s="33" t="s">
        <v>124</v>
      </c>
    </row>
    <row r="4" spans="1:5" x14ac:dyDescent="0.25">
      <c r="B4" s="32"/>
    </row>
    <row r="5" spans="1:5" x14ac:dyDescent="0.25">
      <c r="B5" s="32"/>
    </row>
    <row r="6" spans="1:5" x14ac:dyDescent="0.25">
      <c r="B6" s="32"/>
    </row>
    <row r="7" spans="1:5" x14ac:dyDescent="0.25">
      <c r="B7" s="32"/>
    </row>
    <row r="8" spans="1:5" x14ac:dyDescent="0.25">
      <c r="B8" s="32"/>
    </row>
    <row r="9" spans="1:5" x14ac:dyDescent="0.25">
      <c r="B9" s="32"/>
    </row>
    <row r="10" spans="1:5" x14ac:dyDescent="0.25">
      <c r="B10" s="32"/>
    </row>
    <row r="11" spans="1:5" x14ac:dyDescent="0.25">
      <c r="B11" s="32"/>
    </row>
    <row r="12" spans="1:5" x14ac:dyDescent="0.25">
      <c r="B12" s="32"/>
    </row>
    <row r="13" spans="1:5" x14ac:dyDescent="0.25">
      <c r="B13" s="32"/>
    </row>
    <row r="14" spans="1:5" x14ac:dyDescent="0.25">
      <c r="B14" s="32"/>
    </row>
    <row r="15" spans="1:5" x14ac:dyDescent="0.25">
      <c r="B15" s="32"/>
    </row>
    <row r="16" spans="1:5" x14ac:dyDescent="0.25">
      <c r="B16" s="32"/>
    </row>
    <row r="17" spans="2:2" x14ac:dyDescent="0.25">
      <c r="B17" s="32"/>
    </row>
    <row r="18" spans="2:2" x14ac:dyDescent="0.25">
      <c r="B18" s="32"/>
    </row>
    <row r="19" spans="2:2" x14ac:dyDescent="0.25">
      <c r="B19" s="32"/>
    </row>
    <row r="20" spans="2:2" x14ac:dyDescent="0.25">
      <c r="B20" s="32"/>
    </row>
    <row r="21" spans="2:2" x14ac:dyDescent="0.25">
      <c r="B21" s="32"/>
    </row>
    <row r="22" spans="2:2" x14ac:dyDescent="0.25">
      <c r="B22" s="32"/>
    </row>
    <row r="23" spans="2:2" x14ac:dyDescent="0.25">
      <c r="B23" s="3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ABEF3-FAA2-4AA5-A84B-F7EC7E951511}">
  <dimension ref="A1:L17"/>
  <sheetViews>
    <sheetView tabSelected="1" workbookViewId="0">
      <selection activeCell="C9" sqref="C9"/>
    </sheetView>
  </sheetViews>
  <sheetFormatPr defaultRowHeight="14.25" x14ac:dyDescent="0.2"/>
  <cols>
    <col min="1" max="1" width="26" style="36" customWidth="1"/>
    <col min="2" max="2" width="17.5703125" style="36" customWidth="1"/>
    <col min="3" max="3" width="18.28515625" style="36" customWidth="1"/>
    <col min="4" max="4" width="19.85546875" style="36" bestFit="1" customWidth="1"/>
    <col min="5" max="5" width="9.140625" style="36"/>
    <col min="6" max="6" width="16.85546875" style="36" customWidth="1"/>
    <col min="7" max="7" width="17.7109375" style="36" customWidth="1"/>
    <col min="8" max="8" width="16.28515625" style="36" bestFit="1" customWidth="1"/>
    <col min="9" max="9" width="21.42578125" style="36" customWidth="1"/>
    <col min="10" max="10" width="11.140625" style="36" customWidth="1"/>
    <col min="11" max="11" width="9.140625" style="36"/>
    <col min="12" max="12" width="14.28515625" style="36" customWidth="1"/>
    <col min="13" max="16384" width="9.140625" style="36"/>
  </cols>
  <sheetData>
    <row r="1" spans="1:12" s="34" customFormat="1" ht="19.899999999999999" customHeight="1" x14ac:dyDescent="0.25">
      <c r="A1" s="34" t="s">
        <v>125</v>
      </c>
    </row>
    <row r="4" spans="1:12" x14ac:dyDescent="0.2">
      <c r="A4" s="35" t="s">
        <v>126</v>
      </c>
      <c r="B4" s="35" t="s">
        <v>127</v>
      </c>
      <c r="C4" s="35" t="s">
        <v>128</v>
      </c>
      <c r="D4" s="35" t="s">
        <v>129</v>
      </c>
      <c r="F4" s="35" t="s">
        <v>130</v>
      </c>
      <c r="G4" s="35" t="s">
        <v>131</v>
      </c>
      <c r="I4" s="37" t="s">
        <v>132</v>
      </c>
      <c r="J4" s="37" t="s">
        <v>133</v>
      </c>
      <c r="K4" s="37" t="s">
        <v>134</v>
      </c>
      <c r="L4" s="37" t="s">
        <v>135</v>
      </c>
    </row>
    <row r="5" spans="1:12" x14ac:dyDescent="0.2">
      <c r="A5" s="36" t="s">
        <v>38</v>
      </c>
      <c r="D5" s="38"/>
      <c r="F5" s="36" t="s">
        <v>136</v>
      </c>
      <c r="I5" s="36" t="s">
        <v>137</v>
      </c>
    </row>
    <row r="6" spans="1:12" x14ac:dyDescent="0.2">
      <c r="A6" s="36" t="s">
        <v>39</v>
      </c>
      <c r="D6" s="38"/>
      <c r="F6" s="36" t="s">
        <v>138</v>
      </c>
      <c r="I6" s="36" t="s">
        <v>139</v>
      </c>
    </row>
    <row r="7" spans="1:12" x14ac:dyDescent="0.2">
      <c r="A7" s="36" t="s">
        <v>40</v>
      </c>
      <c r="D7" s="38"/>
      <c r="F7" s="36" t="s">
        <v>140</v>
      </c>
      <c r="I7" s="36" t="s">
        <v>141</v>
      </c>
    </row>
    <row r="8" spans="1:12" x14ac:dyDescent="0.2">
      <c r="A8" s="36" t="s">
        <v>41</v>
      </c>
      <c r="D8" s="38"/>
      <c r="F8" s="36" t="s">
        <v>142</v>
      </c>
      <c r="I8" s="36" t="s">
        <v>143</v>
      </c>
    </row>
    <row r="9" spans="1:12" x14ac:dyDescent="0.2">
      <c r="A9" s="36" t="s">
        <v>42</v>
      </c>
      <c r="D9" s="38"/>
      <c r="F9" s="36" t="s">
        <v>144</v>
      </c>
      <c r="I9" s="36" t="s">
        <v>145</v>
      </c>
    </row>
    <row r="10" spans="1:12" x14ac:dyDescent="0.2">
      <c r="A10" s="36" t="s">
        <v>43</v>
      </c>
      <c r="D10" s="38"/>
      <c r="F10" s="36" t="s">
        <v>146</v>
      </c>
    </row>
    <row r="11" spans="1:12" x14ac:dyDescent="0.2">
      <c r="A11" s="36" t="s">
        <v>44</v>
      </c>
      <c r="D11" s="38"/>
      <c r="F11" s="36" t="s">
        <v>147</v>
      </c>
    </row>
    <row r="12" spans="1:12" x14ac:dyDescent="0.2">
      <c r="A12" s="36" t="s">
        <v>45</v>
      </c>
      <c r="D12" s="38"/>
      <c r="F12" s="36" t="s">
        <v>148</v>
      </c>
    </row>
    <row r="13" spans="1:12" x14ac:dyDescent="0.2">
      <c r="A13" s="36" t="s">
        <v>46</v>
      </c>
      <c r="D13" s="38"/>
      <c r="F13" s="36" t="s">
        <v>149</v>
      </c>
    </row>
    <row r="14" spans="1:12" x14ac:dyDescent="0.2">
      <c r="A14" s="36" t="s">
        <v>47</v>
      </c>
      <c r="D14" s="38"/>
      <c r="F14" s="36" t="s">
        <v>150</v>
      </c>
    </row>
    <row r="15" spans="1:12" x14ac:dyDescent="0.2">
      <c r="A15" s="36" t="s">
        <v>48</v>
      </c>
      <c r="D15" s="38"/>
      <c r="F15" s="36" t="s">
        <v>151</v>
      </c>
    </row>
    <row r="16" spans="1:12" x14ac:dyDescent="0.2">
      <c r="A16" s="36" t="s">
        <v>49</v>
      </c>
      <c r="D16" s="38"/>
      <c r="F16" s="36" t="s">
        <v>152</v>
      </c>
    </row>
    <row r="17" spans="1:6" x14ac:dyDescent="0.2">
      <c r="A17" s="36" t="s">
        <v>50</v>
      </c>
      <c r="D17" s="38"/>
      <c r="F17" s="36" t="s">
        <v>153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7" ma:contentTypeDescription="Create a new document." ma:contentTypeScope="" ma:versionID="4aa9156728ec40ec10fea053bf01ab89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25bd8e2f098c81b399dd4c6c22e90871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0A0040-3C6F-4E53-8BD7-3B63490364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9E3DEE-D75C-4FA9-993A-A9DD4FB10125}">
  <ds:schemaRefs>
    <ds:schemaRef ds:uri="http://schemas.microsoft.com/office/2006/metadata/properties"/>
    <ds:schemaRef ds:uri="http://schemas.microsoft.com/office/infopath/2007/PartnerControls"/>
    <ds:schemaRef ds:uri="92b31412-8c8f-44f1-a883-141cef3f34cc"/>
    <ds:schemaRef ds:uri="92e4be8c-5aca-45ec-8e17-deab1f90d7c8"/>
  </ds:schemaRefs>
</ds:datastoreItem>
</file>

<file path=customXml/itemProps3.xml><?xml version="1.0" encoding="utf-8"?>
<ds:datastoreItem xmlns:ds="http://schemas.openxmlformats.org/officeDocument/2006/customXml" ds:itemID="{7089D231-82B5-4628-AA93-C13AF9DBDC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e4be8c-5aca-45ec-8e17-deab1f90d7c8"/>
    <ds:schemaRef ds:uri="92b31412-8c8f-44f1-a883-141cef3f34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INTRO</vt:lpstr>
      <vt:lpstr>OPERATORS</vt:lpstr>
      <vt:lpstr>BODMAS</vt:lpstr>
      <vt:lpstr>SUM Function</vt:lpstr>
      <vt:lpstr>COUNT Function</vt:lpstr>
      <vt:lpstr>Average</vt:lpstr>
      <vt:lpstr>MIN and MAX</vt:lpstr>
      <vt:lpstr>Error Handling</vt:lpstr>
      <vt:lpstr>Absolute vs Relative</vt:lpstr>
      <vt:lpstr>AutoSum_AutoFill 1</vt:lpstr>
      <vt:lpstr>AutoSum_AutoFill 2</vt:lpstr>
      <vt:lpstr>Flash 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Said Fawzy</cp:lastModifiedBy>
  <dcterms:created xsi:type="dcterms:W3CDTF">2020-11-05T01:39:48Z</dcterms:created>
  <dcterms:modified xsi:type="dcterms:W3CDTF">2025-09-05T16:41:21Z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</Properties>
</file>