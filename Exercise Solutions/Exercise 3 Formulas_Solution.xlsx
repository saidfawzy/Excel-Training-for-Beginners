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\Said Fwazy Training\01 Excel Basics\_Preperation\Exercise Solutions\"/>
    </mc:Choice>
  </mc:AlternateContent>
  <xr:revisionPtr revIDLastSave="0" documentId="13_ncr:1_{4AD1D860-CC9B-46F4-A39C-8AF6DF02E79E}" xr6:coauthVersionLast="47" xr6:coauthVersionMax="47" xr10:uidLastSave="{00000000-0000-0000-0000-000000000000}"/>
  <bookViews>
    <workbookView xWindow="-120" yWindow="-120" windowWidth="20730" windowHeight="11040" firstSheet="8" activeTab="11" xr2:uid="{D65FF853-2800-49D2-ADA6-489BE9547E09}"/>
  </bookViews>
  <sheets>
    <sheet name="INTRO" sheetId="1" r:id="rId1"/>
    <sheet name="OPERATORS" sheetId="3" r:id="rId2"/>
    <sheet name="BODMAS" sheetId="2" r:id="rId3"/>
    <sheet name="SUM Function" sheetId="4" r:id="rId4"/>
    <sheet name="COUNT Function" sheetId="5" r:id="rId5"/>
    <sheet name="Average" sheetId="6" r:id="rId6"/>
    <sheet name="MIN and MAX" sheetId="7" r:id="rId7"/>
    <sheet name="Error Handling" sheetId="8" r:id="rId8"/>
    <sheet name="Absolute vs Relative" sheetId="9" r:id="rId9"/>
    <sheet name="AutoSum_AutoFill 1" sheetId="12" r:id="rId10"/>
    <sheet name="AutoSum_AutoFill 2" sheetId="11" r:id="rId11"/>
    <sheet name="Flash Fill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2" l="1"/>
  <c r="J5" i="12"/>
  <c r="J6" i="12"/>
  <c r="J7" i="12"/>
  <c r="J8" i="12"/>
  <c r="J9" i="12"/>
  <c r="J10" i="12"/>
  <c r="J11" i="12"/>
  <c r="J12" i="12"/>
  <c r="J13" i="12"/>
  <c r="J14" i="12"/>
  <c r="J3" i="12"/>
  <c r="I4" i="12"/>
  <c r="I5" i="12"/>
  <c r="I6" i="12"/>
  <c r="I7" i="12"/>
  <c r="I8" i="12"/>
  <c r="I9" i="12"/>
  <c r="I10" i="12"/>
  <c r="I11" i="12"/>
  <c r="I12" i="12"/>
  <c r="I13" i="12"/>
  <c r="I14" i="12"/>
  <c r="I3" i="12"/>
  <c r="H4" i="12"/>
  <c r="H5" i="12"/>
  <c r="H6" i="12"/>
  <c r="H7" i="12"/>
  <c r="H8" i="12"/>
  <c r="H9" i="12"/>
  <c r="H10" i="12"/>
  <c r="H11" i="12"/>
  <c r="H12" i="12"/>
  <c r="H13" i="12"/>
  <c r="H14" i="12"/>
  <c r="H3" i="12"/>
  <c r="G4" i="12"/>
  <c r="G5" i="12"/>
  <c r="G6" i="12"/>
  <c r="G7" i="12"/>
  <c r="G8" i="12"/>
  <c r="G9" i="12"/>
  <c r="G10" i="12"/>
  <c r="G11" i="12"/>
  <c r="G12" i="12"/>
  <c r="G13" i="12"/>
  <c r="G14" i="12"/>
  <c r="G15" i="12"/>
  <c r="G3" i="12"/>
  <c r="D15" i="12"/>
  <c r="E15" i="12"/>
  <c r="F15" i="12"/>
  <c r="C15" i="12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2" i="9"/>
  <c r="E11" i="9"/>
  <c r="E3" i="9"/>
  <c r="E4" i="9"/>
  <c r="E5" i="9"/>
  <c r="E6" i="9"/>
  <c r="E7" i="9"/>
  <c r="E8" i="9"/>
  <c r="E9" i="9"/>
  <c r="E10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2" i="9"/>
  <c r="I6" i="8"/>
  <c r="I5" i="8"/>
  <c r="I4" i="8"/>
  <c r="F14" i="8"/>
  <c r="E14" i="8"/>
  <c r="D14" i="8"/>
  <c r="C14" i="8"/>
  <c r="G4" i="7"/>
  <c r="H4" i="7"/>
  <c r="G5" i="7"/>
  <c r="H5" i="7"/>
  <c r="G6" i="7"/>
  <c r="H6" i="7"/>
  <c r="G7" i="7"/>
  <c r="H7" i="7"/>
  <c r="G8" i="7"/>
  <c r="H8" i="7"/>
  <c r="G9" i="7"/>
  <c r="H9" i="7"/>
  <c r="G10" i="7"/>
  <c r="H10" i="7"/>
  <c r="G11" i="7"/>
  <c r="H11" i="7"/>
  <c r="G12" i="7"/>
  <c r="H12" i="7"/>
  <c r="G13" i="7"/>
  <c r="H13" i="7"/>
  <c r="G14" i="7"/>
  <c r="H14" i="7"/>
  <c r="H3" i="7"/>
  <c r="G3" i="7"/>
  <c r="G4" i="6"/>
  <c r="G5" i="6"/>
  <c r="G6" i="6"/>
  <c r="G7" i="6"/>
  <c r="G8" i="6"/>
  <c r="G9" i="6"/>
  <c r="G10" i="6"/>
  <c r="G11" i="6"/>
  <c r="G12" i="6"/>
  <c r="G13" i="6"/>
  <c r="G14" i="6"/>
  <c r="G3" i="6"/>
  <c r="G2" i="5"/>
  <c r="C16" i="5"/>
  <c r="F15" i="4"/>
  <c r="E15" i="4"/>
  <c r="D15" i="4"/>
  <c r="C15" i="4"/>
  <c r="C15" i="1"/>
  <c r="H5" i="1"/>
  <c r="F2" i="1"/>
  <c r="I3" i="8" l="1"/>
</calcChain>
</file>

<file path=xl/sharedStrings.xml><?xml version="1.0" encoding="utf-8"?>
<sst xmlns="http://schemas.openxmlformats.org/spreadsheetml/2006/main" count="359" uniqueCount="208">
  <si>
    <t>The BODMAS Principle</t>
  </si>
  <si>
    <t>B</t>
  </si>
  <si>
    <t>O</t>
  </si>
  <si>
    <t>D</t>
  </si>
  <si>
    <t>M</t>
  </si>
  <si>
    <t>A</t>
  </si>
  <si>
    <t>S</t>
  </si>
  <si>
    <t>Brackets</t>
  </si>
  <si>
    <t>Orders</t>
  </si>
  <si>
    <t>Division</t>
  </si>
  <si>
    <t>Multiplication</t>
  </si>
  <si>
    <t>Addition</t>
  </si>
  <si>
    <t>Subtraction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</si>
  <si>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</si>
  <si>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</si>
  <si>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</si>
  <si>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</si>
  <si>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</si>
  <si>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</si>
  <si>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</si>
  <si>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</si>
  <si>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</si>
  <si>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</si>
  <si>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</si>
  <si>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</si>
  <si>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</si>
  <si>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+</t>
  </si>
  <si>
    <t>-</t>
  </si>
  <si>
    <t>*</t>
  </si>
  <si>
    <t>/</t>
  </si>
  <si>
    <t>Operators</t>
  </si>
  <si>
    <t>P</t>
  </si>
  <si>
    <t>Parenthesis</t>
  </si>
  <si>
    <t>I</t>
  </si>
  <si>
    <t>Indices</t>
  </si>
  <si>
    <t>5+6</t>
  </si>
  <si>
    <t>Manal Mahmoud</t>
  </si>
  <si>
    <t>Fekry Zaied</t>
  </si>
  <si>
    <t>Makram Hasan</t>
  </si>
  <si>
    <t>Sayed Ghareeb</t>
  </si>
  <si>
    <t>Gamal Mahmoud</t>
  </si>
  <si>
    <t>Fadel Shawatfy</t>
  </si>
  <si>
    <t>Hasan Morad</t>
  </si>
  <si>
    <t>Naguib Farid</t>
  </si>
  <si>
    <t>Gamal Fattoh</t>
  </si>
  <si>
    <t>Taghreed Momtaz</t>
  </si>
  <si>
    <t>Ahmed Sayed</t>
  </si>
  <si>
    <t>Ashraf Hasn</t>
  </si>
  <si>
    <t>Said Fawzy</t>
  </si>
  <si>
    <t xml:space="preserve">No. of Students </t>
  </si>
  <si>
    <t>Test Score</t>
  </si>
  <si>
    <t>Student</t>
  </si>
  <si>
    <t>Average</t>
  </si>
  <si>
    <t>Minimum Value</t>
  </si>
  <si>
    <t>Maximum Value</t>
  </si>
  <si>
    <t>Total Sales</t>
  </si>
  <si>
    <t>Total Q2</t>
  </si>
  <si>
    <t>Total Nov</t>
  </si>
  <si>
    <t>% 2021 to 2018</t>
  </si>
  <si>
    <t>Employee Name</t>
  </si>
  <si>
    <t>Department</t>
  </si>
  <si>
    <t>Years</t>
  </si>
  <si>
    <t>Salary</t>
  </si>
  <si>
    <t>Bonus</t>
  </si>
  <si>
    <t>New Salary</t>
  </si>
  <si>
    <t>Ed Stacey</t>
  </si>
  <si>
    <t>Sales</t>
  </si>
  <si>
    <t>Aleena Barnes</t>
  </si>
  <si>
    <t>Johnathon Parkinson</t>
  </si>
  <si>
    <t>Administration</t>
  </si>
  <si>
    <t>Tiarna Estrada</t>
  </si>
  <si>
    <t>ADC</t>
  </si>
  <si>
    <t>Sultan Iles</t>
  </si>
  <si>
    <t>Henley Neale</t>
  </si>
  <si>
    <t>Marketing</t>
  </si>
  <si>
    <t>Whitney Craig</t>
  </si>
  <si>
    <t>Training</t>
  </si>
  <si>
    <t>Bushra Timms</t>
  </si>
  <si>
    <t>Dina Pollard</t>
  </si>
  <si>
    <t>Kymani Guthrie</t>
  </si>
  <si>
    <t>Sophia Moss</t>
  </si>
  <si>
    <t>Odin Henderson</t>
  </si>
  <si>
    <t>Rohan Hope</t>
  </si>
  <si>
    <t>Martina Beech</t>
  </si>
  <si>
    <t>Cameron Durham</t>
  </si>
  <si>
    <t>Bailey Partridge</t>
  </si>
  <si>
    <t>Shayaan Gough</t>
  </si>
  <si>
    <t>Della Sharma</t>
  </si>
  <si>
    <t>Clay Santos</t>
  </si>
  <si>
    <t>Wade Spencer</t>
  </si>
  <si>
    <t>Luke Forrest</t>
  </si>
  <si>
    <t>Kaydon Key</t>
  </si>
  <si>
    <t>Amani Osborn</t>
  </si>
  <si>
    <t>Sian Schultz</t>
  </si>
  <si>
    <t>Abdallah Oakley</t>
  </si>
  <si>
    <t>Euan Charlton</t>
  </si>
  <si>
    <t>Flynn Walter</t>
  </si>
  <si>
    <t>Breanna Escobar</t>
  </si>
  <si>
    <t>Layton Fernandez</t>
  </si>
  <si>
    <t>Ho Carr</t>
  </si>
  <si>
    <t>Rumaysa Trujillo</t>
  </si>
  <si>
    <t>Arwen Rasmussen</t>
  </si>
  <si>
    <t>Ishika Carlson</t>
  </si>
  <si>
    <t>Adeel Bonner</t>
  </si>
  <si>
    <t>Tillie Schofield</t>
  </si>
  <si>
    <t>Ruth Mccallum</t>
  </si>
  <si>
    <t>Debra Rivas</t>
  </si>
  <si>
    <t>Manha Rooney</t>
  </si>
  <si>
    <t>Selina Chan</t>
  </si>
  <si>
    <t>Benny Rodriquez</t>
  </si>
  <si>
    <t>Ifan Dunn</t>
  </si>
  <si>
    <t>Nana Carrillo</t>
  </si>
  <si>
    <t>Hendrix Robson</t>
  </si>
  <si>
    <t>Miah Prosser</t>
  </si>
  <si>
    <t>Harriett Ashton</t>
  </si>
  <si>
    <t>Taylor Farley</t>
  </si>
  <si>
    <t>Laurence Sheldon</t>
  </si>
  <si>
    <t>Lily-Rose Noble</t>
  </si>
  <si>
    <t>Nada Erickson</t>
  </si>
  <si>
    <t>Sam White</t>
  </si>
  <si>
    <t>Numbers</t>
  </si>
  <si>
    <t>Dates</t>
  </si>
  <si>
    <t>Months</t>
  </si>
  <si>
    <t>Days</t>
  </si>
  <si>
    <t>Employees</t>
  </si>
  <si>
    <t>Min</t>
  </si>
  <si>
    <t>Max</t>
  </si>
  <si>
    <t>Mon</t>
  </si>
  <si>
    <t>Tue</t>
  </si>
  <si>
    <t>Wed</t>
  </si>
  <si>
    <t>Thu</t>
  </si>
  <si>
    <t>Fri</t>
  </si>
  <si>
    <t>Sat</t>
  </si>
  <si>
    <t>Sun</t>
  </si>
  <si>
    <t>Flash Fill</t>
  </si>
  <si>
    <t>Full Name</t>
  </si>
  <si>
    <t>First Name</t>
  </si>
  <si>
    <t>Last Name</t>
  </si>
  <si>
    <t>Email Address</t>
  </si>
  <si>
    <t xml:space="preserve">Long Order No. </t>
  </si>
  <si>
    <t xml:space="preserve">Short Order No. </t>
  </si>
  <si>
    <t>Product Name</t>
  </si>
  <si>
    <t>Color</t>
  </si>
  <si>
    <t>Product</t>
  </si>
  <si>
    <t>Item Code</t>
  </si>
  <si>
    <t>ORD-123</t>
  </si>
  <si>
    <t>RedShirt-123</t>
  </si>
  <si>
    <t>ORD-124</t>
  </si>
  <si>
    <t>GreenTrousers-498</t>
  </si>
  <si>
    <t>ORD-125</t>
  </si>
  <si>
    <t>YellowTie-289</t>
  </si>
  <si>
    <t>ORD-126</t>
  </si>
  <si>
    <t>BrownBoots-290</t>
  </si>
  <si>
    <t>ORD-127</t>
  </si>
  <si>
    <t>PurpleSocks-120</t>
  </si>
  <si>
    <t>ORD-128</t>
  </si>
  <si>
    <t>ORD-129</t>
  </si>
  <si>
    <t>ORD-130</t>
  </si>
  <si>
    <t>ORD-131</t>
  </si>
  <si>
    <t>ORD-132</t>
  </si>
  <si>
    <t>ORD-133</t>
  </si>
  <si>
    <t>ORD-134</t>
  </si>
  <si>
    <t>ORD-135</t>
  </si>
  <si>
    <t>Said</t>
  </si>
  <si>
    <t>Ashraf</t>
  </si>
  <si>
    <t>Ahmed</t>
  </si>
  <si>
    <t>Taghreed</t>
  </si>
  <si>
    <t>Gamal</t>
  </si>
  <si>
    <t>Naguib</t>
  </si>
  <si>
    <t>Hasan</t>
  </si>
  <si>
    <t>Fadel</t>
  </si>
  <si>
    <t>Sayed</t>
  </si>
  <si>
    <t>Makram</t>
  </si>
  <si>
    <t>Fekry</t>
  </si>
  <si>
    <t>Manal</t>
  </si>
  <si>
    <t>Fawzy</t>
  </si>
  <si>
    <t>Hasn</t>
  </si>
  <si>
    <t>Momtaz</t>
  </si>
  <si>
    <t>Fattoh</t>
  </si>
  <si>
    <t>Farid</t>
  </si>
  <si>
    <t>Morad</t>
  </si>
  <si>
    <t>Shawatfy</t>
  </si>
  <si>
    <t>Mahmoud</t>
  </si>
  <si>
    <t>Ghareeb</t>
  </si>
  <si>
    <t>Zaied</t>
  </si>
  <si>
    <t>sa.fawzy@compny.com</t>
  </si>
  <si>
    <t>as.hasn@compny.com</t>
  </si>
  <si>
    <t>ah.sayed@compny.com</t>
  </si>
  <si>
    <t>ta.momtaz@compny.com</t>
  </si>
  <si>
    <t>ga.fattoh@compny.com</t>
  </si>
  <si>
    <t>na.farid@compny.com</t>
  </si>
  <si>
    <t>ha.morad@compny.com</t>
  </si>
  <si>
    <t>fa.shawatfy@compny.com</t>
  </si>
  <si>
    <t>ga.mahmoud@compny.com</t>
  </si>
  <si>
    <t>sa.ghareeb@compny.com</t>
  </si>
  <si>
    <t>ma.hasan@compny.com</t>
  </si>
  <si>
    <t>fe.zaied@compny.com</t>
  </si>
  <si>
    <t>ma.mahmoud@compny.com</t>
  </si>
  <si>
    <t>Red</t>
  </si>
  <si>
    <t>Green</t>
  </si>
  <si>
    <t>Yellow</t>
  </si>
  <si>
    <t>Brown</t>
  </si>
  <si>
    <t>Purple</t>
  </si>
  <si>
    <t>Shirt</t>
  </si>
  <si>
    <t>Trousers</t>
  </si>
  <si>
    <t>Tie</t>
  </si>
  <si>
    <t>Boots</t>
  </si>
  <si>
    <t>Socks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</si>
</sst>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£&quot;#,##0"/>
    <numFmt numFmtId="165" formatCode="&quot;£&quot;#,##0.00"/>
    <numFmt numFmtId="166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4"/>
      <color theme="1"/>
      <name val="Segoe UI"/>
      <family val="2"/>
    </font>
    <font>
      <sz val="16"/>
      <color theme="1"/>
      <name val="Segoe UI"/>
      <family val="2"/>
    </font>
    <font>
      <sz val="18"/>
      <color theme="1"/>
      <name val="Segoe UI"/>
      <family val="2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Segoe UI"/>
      <family val="2"/>
    </font>
    <font>
      <sz val="12"/>
      <color theme="1"/>
      <name val="Segoe U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theme="5" tint="-0.499984740745262"/>
      </left>
      <right style="thin">
        <color theme="4"/>
      </right>
      <top style="medium">
        <color theme="5" tint="-0.499984740745262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medium">
        <color theme="5" tint="-0.499984740745262"/>
      </top>
      <bottom style="thin">
        <color theme="4"/>
      </bottom>
      <diagonal/>
    </border>
    <border>
      <left style="medium">
        <color theme="9" tint="-0.249977111117893"/>
      </left>
      <right style="medium">
        <color theme="9" tint="-0.249977111117893"/>
      </right>
      <top/>
      <bottom/>
      <diagonal/>
    </border>
    <border>
      <left/>
      <right/>
      <top/>
      <bottom style="thin">
        <color theme="1" tint="0.34998626667073579"/>
      </bottom>
      <diagonal/>
    </border>
    <border>
      <left/>
      <right/>
      <top style="thin">
        <color rgb="FF7030A0"/>
      </top>
      <bottom style="thin">
        <color rgb="FF7030A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2" fillId="0" borderId="0"/>
    <xf numFmtId="0" fontId="14" fillId="0" borderId="0" applyNumberForma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3" fillId="2" borderId="0" xfId="0" applyFont="1" applyFill="1"/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 indent="2"/>
    </xf>
    <xf numFmtId="0" fontId="0" fillId="0" borderId="2" xfId="0" applyBorder="1"/>
    <xf numFmtId="0" fontId="0" fillId="9" borderId="2" xfId="0" applyFill="1" applyBorder="1"/>
    <xf numFmtId="0" fontId="0" fillId="0" borderId="2" xfId="1" applyNumberFormat="1" applyFont="1" applyBorder="1"/>
    <xf numFmtId="0" fontId="4" fillId="0" borderId="3" xfId="0" applyFont="1" applyBorder="1" applyAlignment="1">
      <alignment horizontal="left" vertical="center" indent="2"/>
    </xf>
    <xf numFmtId="0" fontId="7" fillId="10" borderId="3" xfId="0" applyFont="1" applyFill="1" applyBorder="1" applyAlignment="1">
      <alignment horizontal="center" vertical="center"/>
    </xf>
    <xf numFmtId="0" fontId="0" fillId="0" borderId="1" xfId="0" applyBorder="1"/>
    <xf numFmtId="0" fontId="0" fillId="0" borderId="4" xfId="0" applyBorder="1"/>
    <xf numFmtId="0" fontId="0" fillId="11" borderId="1" xfId="0" applyFill="1" applyBorder="1"/>
    <xf numFmtId="0" fontId="0" fillId="0" borderId="5" xfId="0" applyBorder="1"/>
    <xf numFmtId="0" fontId="9" fillId="12" borderId="2" xfId="0" applyFont="1" applyFill="1" applyBorder="1"/>
    <xf numFmtId="0" fontId="0" fillId="13" borderId="2" xfId="1" applyNumberFormat="1" applyFont="1" applyFill="1" applyBorder="1"/>
    <xf numFmtId="9" fontId="0" fillId="0" borderId="0" xfId="0" applyNumberFormat="1"/>
    <xf numFmtId="0" fontId="10" fillId="14" borderId="0" xfId="0" applyFont="1" applyFill="1"/>
    <xf numFmtId="164" fontId="10" fillId="14" borderId="0" xfId="0" applyNumberFormat="1" applyFont="1" applyFill="1"/>
    <xf numFmtId="165" fontId="10" fillId="14" borderId="0" xfId="0" applyNumberFormat="1" applyFont="1" applyFill="1"/>
    <xf numFmtId="0" fontId="10" fillId="14" borderId="6" xfId="0" applyFont="1" applyFill="1" applyBorder="1"/>
    <xf numFmtId="166" fontId="11" fillId="0" borderId="7" xfId="0" applyNumberFormat="1" applyFont="1" applyBorder="1"/>
    <xf numFmtId="164" fontId="2" fillId="0" borderId="0" xfId="1" applyNumberFormat="1" applyFont="1"/>
    <xf numFmtId="165" fontId="2" fillId="0" borderId="0" xfId="0" applyNumberFormat="1" applyFont="1"/>
    <xf numFmtId="164" fontId="2" fillId="0" borderId="0" xfId="0" applyNumberFormat="1" applyFont="1"/>
    <xf numFmtId="0" fontId="8" fillId="15" borderId="0" xfId="0" applyFont="1" applyFill="1"/>
    <xf numFmtId="14" fontId="0" fillId="0" borderId="0" xfId="0" applyNumberFormat="1"/>
    <xf numFmtId="0" fontId="8" fillId="2" borderId="2" xfId="0" applyFont="1" applyFill="1" applyBorder="1"/>
    <xf numFmtId="0" fontId="0" fillId="9" borderId="8" xfId="0" applyFill="1" applyBorder="1"/>
    <xf numFmtId="0" fontId="13" fillId="0" borderId="9" xfId="2" applyFont="1" applyBorder="1" applyAlignment="1">
      <alignment vertical="center"/>
    </xf>
    <xf numFmtId="0" fontId="12" fillId="10" borderId="10" xfId="2" applyFill="1" applyBorder="1"/>
    <xf numFmtId="0" fontId="12" fillId="0" borderId="0" xfId="2"/>
    <xf numFmtId="0" fontId="12" fillId="10" borderId="0" xfId="2" applyFill="1"/>
    <xf numFmtId="0" fontId="14" fillId="0" borderId="0" xfId="3"/>
  </cellXfs>
  <cellStyles count="4">
    <cellStyle name="Currency" xfId="1" builtinId="4"/>
    <cellStyle name="Hyperlink" xfId="3" builtinId="8"/>
    <cellStyle name="Normal" xfId="0" builtinId="0"/>
    <cellStyle name="Normal 2" xfId="2" xr:uid="{549CFDD4-2367-4BD2-AEAD-4A86584751CF}"/>
  </cellStyles>
  <dxfs count="0"/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11724</xdr:colOff>
      <xdr:row>1</xdr:row>
      <xdr:rowOff>5861</xdr:rowOff>
    </xdr:from>
    <xdr:to>
      <xdr:col>13</xdr:col>
      <xdr:colOff>586154</xdr:colOff>
      <xdr:row>9</xdr:row>
      <xdr:rowOff>187569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7960875-66CB-4834-B31B-268C023ED513}"/>
            </a:ext>
          </a:extLst>
        </xdr:cNvPr>
        <xdr:cNvSpPr txBox="1"/>
      </xdr:nvSpPr>
      <xdr:spPr>
        <a:xfrm>
          <a:off x="8546124" y="205886"/>
          <a:ext cx="1793630" cy="178190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AutoFill</a:t>
          </a:r>
          <a:r>
            <a:rPr lang="en-US" sz="1100" b="1" baseline="0"/>
            <a:t> (4 Methods)</a:t>
          </a:r>
        </a:p>
        <a:p>
          <a:endParaRPr lang="en-US" sz="1100" baseline="0"/>
        </a:p>
        <a:p>
          <a:r>
            <a:rPr lang="en-US" sz="1100" baseline="0"/>
            <a:t>1. Double-click</a:t>
          </a:r>
        </a:p>
        <a:p>
          <a:endParaRPr lang="en-US" sz="1100" baseline="0"/>
        </a:p>
        <a:p>
          <a:r>
            <a:rPr lang="en-US" sz="1100" baseline="0"/>
            <a:t>2. Drag down</a:t>
          </a:r>
        </a:p>
        <a:p>
          <a:endParaRPr lang="en-US" sz="1100" baseline="0"/>
        </a:p>
        <a:p>
          <a:r>
            <a:rPr lang="en-US" sz="1100" baseline="0"/>
            <a:t>3. Fill Down button</a:t>
          </a:r>
        </a:p>
        <a:p>
          <a:endParaRPr lang="en-US" sz="1100" baseline="0"/>
        </a:p>
        <a:p>
          <a:r>
            <a:rPr lang="en-US" sz="1100" baseline="0"/>
            <a:t>4. Keyboard Shortcut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fa.shawatfy@compny.com" TargetMode="External"/><Relationship Id="rId13" Type="http://schemas.openxmlformats.org/officeDocument/2006/relationships/hyperlink" Target="mailto:ma.mahmoud@compny.com" TargetMode="External"/><Relationship Id="rId3" Type="http://schemas.openxmlformats.org/officeDocument/2006/relationships/hyperlink" Target="mailto:ah.sayed@compny.com" TargetMode="External"/><Relationship Id="rId7" Type="http://schemas.openxmlformats.org/officeDocument/2006/relationships/hyperlink" Target="mailto:ha.morad@compny.com" TargetMode="External"/><Relationship Id="rId12" Type="http://schemas.openxmlformats.org/officeDocument/2006/relationships/hyperlink" Target="mailto:fe.zaied@compny.com" TargetMode="External"/><Relationship Id="rId2" Type="http://schemas.openxmlformats.org/officeDocument/2006/relationships/hyperlink" Target="mailto:as.hasn@compny.com" TargetMode="External"/><Relationship Id="rId1" Type="http://schemas.openxmlformats.org/officeDocument/2006/relationships/hyperlink" Target="mailto:sa.fawzy@compny.com" TargetMode="External"/><Relationship Id="rId6" Type="http://schemas.openxmlformats.org/officeDocument/2006/relationships/hyperlink" Target="mailto:na.farid@compny.com" TargetMode="External"/><Relationship Id="rId11" Type="http://schemas.openxmlformats.org/officeDocument/2006/relationships/hyperlink" Target="mailto:ma.hasan@compny.com" TargetMode="External"/><Relationship Id="rId5" Type="http://schemas.openxmlformats.org/officeDocument/2006/relationships/hyperlink" Target="mailto:ga.fattoh@compny.com" TargetMode="External"/><Relationship Id="rId10" Type="http://schemas.openxmlformats.org/officeDocument/2006/relationships/hyperlink" Target="mailto:sa.ghareeb@compny.com" TargetMode="External"/><Relationship Id="rId4" Type="http://schemas.openxmlformats.org/officeDocument/2006/relationships/hyperlink" Target="mailto:ta.momtaz@compny.com" TargetMode="External"/><Relationship Id="rId9" Type="http://schemas.openxmlformats.org/officeDocument/2006/relationships/hyperlink" Target="mailto:ga.mahmoud@compny.com" TargetMode="External"/><Relationship Id="rId1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30019-4F52-4BA0-AE58-453B45939140}">
  <dimension ref="B1:H15"/>
  <sheetViews>
    <sheetView topLeftCell="A2" zoomScale="130" zoomScaleNormal="130" workbookViewId="0">
      <selection activeCell="C16" sqref="C16"/>
    </sheetView>
  </sheetViews>
  <sheetFormatPr defaultRowHeight="15" x14ac:dyDescent="0.25"/>
  <cols>
    <col min="3" max="3" width="11.28515625" bestFit="1" customWidth="1"/>
  </cols>
  <sheetData>
    <row r="1" spans="2:8" ht="15.75" thickBot="1" x14ac:dyDescent="0.3"/>
    <row r="2" spans="2:8" ht="15.75" thickBot="1" x14ac:dyDescent="0.3">
      <c r="B2" s="10"/>
      <c r="C2" s="11">
        <v>2020</v>
      </c>
      <c r="E2" t="s">
        <v>35</v>
      </c>
      <c r="F2">
        <f>5+6</f>
        <v>11</v>
      </c>
    </row>
    <row r="3" spans="2:8" ht="15.75" thickBot="1" x14ac:dyDescent="0.3">
      <c r="B3" s="11" t="s">
        <v>13</v>
      </c>
      <c r="C3" s="12">
        <v>20</v>
      </c>
      <c r="H3">
        <v>5</v>
      </c>
    </row>
    <row r="4" spans="2:8" ht="15.75" thickBot="1" x14ac:dyDescent="0.3">
      <c r="B4" s="11" t="s">
        <v>14</v>
      </c>
      <c r="C4" s="12">
        <v>20</v>
      </c>
      <c r="H4">
        <v>6</v>
      </c>
    </row>
    <row r="5" spans="2:8" ht="15.75" thickBot="1" x14ac:dyDescent="0.3">
      <c r="B5" s="11" t="s">
        <v>15</v>
      </c>
      <c r="C5" s="12">
        <v>20</v>
      </c>
      <c r="H5">
        <f>H3+H4</f>
        <v>11</v>
      </c>
    </row>
    <row r="6" spans="2:8" ht="15.75" thickBot="1" x14ac:dyDescent="0.3">
      <c r="B6" s="11" t="s">
        <v>16</v>
      </c>
      <c r="C6" s="12">
        <v>15</v>
      </c>
    </row>
    <row r="7" spans="2:8" ht="15.75" thickBot="1" x14ac:dyDescent="0.3">
      <c r="B7" s="11" t="s">
        <v>17</v>
      </c>
      <c r="C7" s="12">
        <v>13</v>
      </c>
    </row>
    <row r="8" spans="2:8" ht="15.75" thickBot="1" x14ac:dyDescent="0.3">
      <c r="B8" s="11" t="s">
        <v>18</v>
      </c>
      <c r="C8" s="12">
        <v>18</v>
      </c>
    </row>
    <row r="9" spans="2:8" ht="15.75" thickBot="1" x14ac:dyDescent="0.3">
      <c r="B9" s="11" t="s">
        <v>19</v>
      </c>
      <c r="C9" s="12">
        <v>10</v>
      </c>
    </row>
    <row r="10" spans="2:8" ht="15.75" thickBot="1" x14ac:dyDescent="0.3">
      <c r="B10" s="11" t="s">
        <v>20</v>
      </c>
      <c r="C10" s="12">
        <v>19</v>
      </c>
    </row>
    <row r="11" spans="2:8" ht="15.75" thickBot="1" x14ac:dyDescent="0.3">
      <c r="B11" s="11" t="s">
        <v>21</v>
      </c>
      <c r="C11" s="12">
        <v>14</v>
      </c>
    </row>
    <row r="12" spans="2:8" ht="15.75" thickBot="1" x14ac:dyDescent="0.3">
      <c r="B12" s="11" t="s">
        <v>22</v>
      </c>
      <c r="C12" s="12">
        <v>17</v>
      </c>
    </row>
    <row r="13" spans="2:8" ht="15.75" thickBot="1" x14ac:dyDescent="0.3">
      <c r="B13" s="11" t="s">
        <v>23</v>
      </c>
      <c r="C13" s="12">
        <v>10</v>
      </c>
    </row>
    <row r="14" spans="2:8" ht="15.75" thickBot="1" x14ac:dyDescent="0.3">
      <c r="B14" s="11" t="s">
        <v>24</v>
      </c>
      <c r="C14" s="12">
        <v>17</v>
      </c>
    </row>
    <row r="15" spans="2:8" ht="15.75" thickBot="1" x14ac:dyDescent="0.3">
      <c r="B15" s="11" t="s">
        <v>25</v>
      </c>
      <c r="C15" s="12">
        <f>SUM(C2:C14)</f>
        <v>2213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1FC4A-A30E-4E91-A7D3-DA68A878AA46}">
  <dimension ref="A1:C6"/>
  <sheetViews>
    <sheetView zoomScale="130" zoomScaleNormal="130" workbookViewId="0">
      <selection activeCell="C9" sqref="C9"/>
    </sheetView>
  </sheetViews>
  <sheetFormatPr defaultRowHeight="15" x14ac:dyDescent="0.25"/>
  <cols>
    <col min="2" max="2" width="12.7109375" customWidth="1"/>
    <col min="3" max="3" width="28" customWidth="1"/>
  </cols>
  <sheetData>
    <row r="1" spans="1:3" s="2" customFormat="1" ht="20.25" x14ac:dyDescent="0.35">
      <c r="A1" s="2" t="s">
        <v>30</v>
      </c>
    </row>
    <row r="2" spans="1:3" ht="15.75" thickBot="1" x14ac:dyDescent="0.3"/>
    <row r="3" spans="1:3" ht="32.25" thickBot="1" x14ac:dyDescent="0.3">
      <c r="B3" s="14" t="s">
        <v>26</v>
      </c>
      <c r="C3" s="13" t="s">
        <v>11</v>
      </c>
    </row>
    <row r="4" spans="1:3" ht="32.25" thickBot="1" x14ac:dyDescent="0.3">
      <c r="B4" s="14" t="s">
        <v>27</v>
      </c>
      <c r="C4" s="13" t="s">
        <v>12</v>
      </c>
    </row>
    <row r="5" spans="1:3" ht="32.25" thickBot="1" x14ac:dyDescent="0.3">
      <c r="B5" s="14" t="s">
        <v>28</v>
      </c>
      <c r="C5" s="13" t="s">
        <v>10</v>
      </c>
    </row>
    <row r="6" spans="1:3" ht="32.25" thickBot="1" x14ac:dyDescent="0.3">
      <c r="B6" s="14" t="s">
        <v>29</v>
      </c>
      <c r="C6" s="1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3AD3C-EC19-4F5E-A4DD-376EF6DE5B3E}">
  <dimension ref="A1:F9"/>
  <sheetViews>
    <sheetView zoomScale="120" zoomScaleNormal="120" workbookViewId="0">
      <selection activeCell="H14" sqref="H14"/>
    </sheetView>
  </sheetViews>
  <sheetFormatPr defaultColWidth="8.85546875" defaultRowHeight="16.5" x14ac:dyDescent="0.3"/>
  <cols>
    <col min="1" max="1" width="8.85546875" style="1"/>
    <col min="2" max="2" width="17.7109375" style="1" customWidth="1"/>
    <col min="3" max="3" width="27.5703125" style="1" customWidth="1"/>
    <col min="4" max="4" width="8.85546875" style="1"/>
    <col min="5" max="5" width="18.85546875" style="1" customWidth="1"/>
    <col min="6" max="6" width="24.42578125" style="1" customWidth="1"/>
    <col min="7" max="16384" width="8.85546875" style="1"/>
  </cols>
  <sheetData>
    <row r="1" spans="1:6" s="2" customFormat="1" ht="20.25" x14ac:dyDescent="0.35">
      <c r="A1" s="2" t="s">
        <v>0</v>
      </c>
    </row>
    <row r="4" spans="1:6" ht="26.25" x14ac:dyDescent="0.45">
      <c r="B4" s="3" t="s">
        <v>1</v>
      </c>
      <c r="C4" s="9" t="s">
        <v>7</v>
      </c>
      <c r="E4" s="3" t="s">
        <v>31</v>
      </c>
      <c r="F4" s="9" t="s">
        <v>32</v>
      </c>
    </row>
    <row r="5" spans="1:6" ht="26.25" x14ac:dyDescent="0.45">
      <c r="B5" s="4" t="s">
        <v>2</v>
      </c>
      <c r="C5" s="9" t="s">
        <v>8</v>
      </c>
      <c r="E5" s="4" t="s">
        <v>33</v>
      </c>
      <c r="F5" s="9" t="s">
        <v>34</v>
      </c>
    </row>
    <row r="6" spans="1:6" ht="26.25" x14ac:dyDescent="0.45">
      <c r="B6" s="5" t="s">
        <v>3</v>
      </c>
      <c r="C6" s="9" t="s">
        <v>9</v>
      </c>
      <c r="E6" s="5" t="s">
        <v>3</v>
      </c>
      <c r="F6" s="9" t="s">
        <v>9</v>
      </c>
    </row>
    <row r="7" spans="1:6" ht="26.25" x14ac:dyDescent="0.45">
      <c r="B7" s="6" t="s">
        <v>4</v>
      </c>
      <c r="C7" s="9" t="s">
        <v>10</v>
      </c>
      <c r="E7" s="6" t="s">
        <v>4</v>
      </c>
      <c r="F7" s="9" t="s">
        <v>10</v>
      </c>
    </row>
    <row r="8" spans="1:6" ht="26.25" x14ac:dyDescent="0.45">
      <c r="B8" s="7" t="s">
        <v>5</v>
      </c>
      <c r="C8" s="9" t="s">
        <v>11</v>
      </c>
      <c r="E8" s="7" t="s">
        <v>5</v>
      </c>
      <c r="F8" s="9" t="s">
        <v>11</v>
      </c>
    </row>
    <row r="9" spans="1:6" ht="26.25" x14ac:dyDescent="0.45">
      <c r="B9" s="8" t="s">
        <v>6</v>
      </c>
      <c r="C9" s="9" t="s">
        <v>12</v>
      </c>
      <c r="E9" s="8" t="s">
        <v>6</v>
      </c>
      <c r="F9" s="9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49291-BD83-4F2A-93CF-0361BDC20F1E}">
  <dimension ref="B1:F15"/>
  <sheetViews>
    <sheetView topLeftCell="A2" zoomScale="130" zoomScaleNormal="130" workbookViewId="0">
      <selection activeCell="C15" sqref="C15:F15"/>
    </sheetView>
  </sheetViews>
  <sheetFormatPr defaultRowHeight="15" x14ac:dyDescent="0.25"/>
  <cols>
    <col min="3" max="3" width="11.28515625" bestFit="1" customWidth="1"/>
    <col min="4" max="4" width="13.7109375" customWidth="1"/>
    <col min="5" max="6" width="15.28515625" customWidth="1"/>
  </cols>
  <sheetData>
    <row r="1" spans="2:6" ht="15.75" thickBot="1" x14ac:dyDescent="0.3"/>
    <row r="2" spans="2:6" ht="15.75" thickBot="1" x14ac:dyDescent="0.3">
      <c r="B2" s="10"/>
      <c r="C2" s="11">
        <v>2021</v>
      </c>
      <c r="D2" s="11">
        <v>2020</v>
      </c>
      <c r="E2" s="11">
        <v>2019</v>
      </c>
      <c r="F2" s="11">
        <v>2018</v>
      </c>
    </row>
    <row r="3" spans="2:6" ht="15.75" thickBot="1" x14ac:dyDescent="0.3">
      <c r="B3" s="11" t="s">
        <v>13</v>
      </c>
      <c r="C3" s="12">
        <v>4255</v>
      </c>
      <c r="D3" s="12">
        <v>4096</v>
      </c>
      <c r="E3" s="12">
        <v>3151</v>
      </c>
      <c r="F3" s="12">
        <v>3848</v>
      </c>
    </row>
    <row r="4" spans="2:6" ht="15.75" thickBot="1" x14ac:dyDescent="0.3">
      <c r="B4" s="11" t="s">
        <v>14</v>
      </c>
      <c r="C4" s="12">
        <v>4382</v>
      </c>
      <c r="D4" s="12">
        <v>5271</v>
      </c>
      <c r="E4" s="12">
        <v>5712</v>
      </c>
      <c r="F4" s="12">
        <v>3740</v>
      </c>
    </row>
    <row r="5" spans="2:6" ht="15.75" thickBot="1" x14ac:dyDescent="0.3">
      <c r="B5" s="11" t="s">
        <v>15</v>
      </c>
      <c r="C5" s="12">
        <v>4594</v>
      </c>
      <c r="D5" s="12">
        <v>4321</v>
      </c>
      <c r="E5" s="12">
        <v>3181</v>
      </c>
      <c r="F5" s="12">
        <v>5351</v>
      </c>
    </row>
    <row r="6" spans="2:6" ht="15.75" thickBot="1" x14ac:dyDescent="0.3">
      <c r="B6" s="11" t="s">
        <v>16</v>
      </c>
      <c r="C6" s="12">
        <v>4313</v>
      </c>
      <c r="D6" s="12">
        <v>4329</v>
      </c>
      <c r="E6" s="12">
        <v>3693</v>
      </c>
      <c r="F6" s="12">
        <v>5663</v>
      </c>
    </row>
    <row r="7" spans="2:6" ht="15.75" thickBot="1" x14ac:dyDescent="0.3">
      <c r="B7" s="11" t="s">
        <v>17</v>
      </c>
      <c r="C7" s="12">
        <v>4382</v>
      </c>
      <c r="D7" s="12">
        <v>3442</v>
      </c>
      <c r="E7" s="12">
        <v>5956</v>
      </c>
      <c r="F7" s="12">
        <v>4748</v>
      </c>
    </row>
    <row r="8" spans="2:6" ht="15.75" thickBot="1" x14ac:dyDescent="0.3">
      <c r="B8" s="11" t="s">
        <v>18</v>
      </c>
      <c r="C8" s="12">
        <v>5316</v>
      </c>
      <c r="D8" s="12">
        <v>4315</v>
      </c>
      <c r="E8" s="12">
        <v>4410</v>
      </c>
      <c r="F8" s="12">
        <v>3648</v>
      </c>
    </row>
    <row r="9" spans="2:6" ht="15.75" thickBot="1" x14ac:dyDescent="0.3">
      <c r="B9" s="11" t="s">
        <v>19</v>
      </c>
      <c r="C9" s="12">
        <v>4482</v>
      </c>
      <c r="D9" s="12">
        <v>3751</v>
      </c>
      <c r="E9" s="12">
        <v>4935</v>
      </c>
      <c r="F9" s="12">
        <v>4817</v>
      </c>
    </row>
    <row r="10" spans="2:6" ht="15.75" thickBot="1" x14ac:dyDescent="0.3">
      <c r="B10" s="11" t="s">
        <v>20</v>
      </c>
      <c r="C10" s="12">
        <v>5198</v>
      </c>
      <c r="D10" s="12">
        <v>3347</v>
      </c>
      <c r="E10" s="12">
        <v>4519</v>
      </c>
      <c r="F10" s="12">
        <v>4047</v>
      </c>
    </row>
    <row r="11" spans="2:6" ht="15.75" thickBot="1" x14ac:dyDescent="0.3">
      <c r="B11" s="11" t="s">
        <v>21</v>
      </c>
      <c r="C11" s="12">
        <v>5781</v>
      </c>
      <c r="D11" s="12">
        <v>3886</v>
      </c>
      <c r="E11" s="12">
        <v>3835</v>
      </c>
      <c r="F11" s="12">
        <v>5898</v>
      </c>
    </row>
    <row r="12" spans="2:6" ht="15.75" thickBot="1" x14ac:dyDescent="0.3">
      <c r="B12" s="11" t="s">
        <v>22</v>
      </c>
      <c r="C12" s="12">
        <v>4083</v>
      </c>
      <c r="D12" s="12">
        <v>5898</v>
      </c>
      <c r="E12" s="12">
        <v>5450</v>
      </c>
      <c r="F12" s="12">
        <v>3236</v>
      </c>
    </row>
    <row r="13" spans="2:6" ht="15.75" thickBot="1" x14ac:dyDescent="0.3">
      <c r="B13" s="11" t="s">
        <v>23</v>
      </c>
      <c r="C13" s="12">
        <v>5705</v>
      </c>
      <c r="D13" s="12">
        <v>3017</v>
      </c>
      <c r="E13" s="12">
        <v>3724</v>
      </c>
      <c r="F13" s="12">
        <v>4632</v>
      </c>
    </row>
    <row r="14" spans="2:6" ht="15.75" thickBot="1" x14ac:dyDescent="0.3">
      <c r="B14" s="11" t="s">
        <v>24</v>
      </c>
      <c r="C14" s="12">
        <v>3958</v>
      </c>
      <c r="D14" s="12">
        <v>4697</v>
      </c>
      <c r="E14" s="12">
        <v>5944</v>
      </c>
      <c r="F14" s="12">
        <v>3272</v>
      </c>
    </row>
    <row r="15" spans="2:6" ht="15.75" thickBot="1" x14ac:dyDescent="0.3">
      <c r="B15" s="11" t="s">
        <v>25</v>
      </c>
      <c r="C15" s="12">
        <f>SUM(C3:C14)</f>
        <v>56449</v>
      </c>
      <c r="D15" s="12">
        <f>SUM(D3:D14)</f>
        <v>50370</v>
      </c>
      <c r="E15" s="12">
        <f>SUM(E3:E14)</f>
        <v>54510</v>
      </c>
      <c r="F15" s="12">
        <f>SUM(F3:F14)</f>
        <v>52900</v>
      </c>
    </row>
  </sheetData>
  <pageMargins left="0.7" right="0.7" top="0.75" bottom="0.75" header="0.3" footer="0.3"/>
  <ignoredErrors>
    <ignoredError sqref="C15:F15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7CAF3-BC6A-402E-8652-D239B26267AD}">
  <dimension ref="B1:G16"/>
  <sheetViews>
    <sheetView topLeftCell="A2" zoomScale="130" zoomScaleNormal="130" workbookViewId="0">
      <selection activeCell="B3" sqref="B3:B15"/>
    </sheetView>
  </sheetViews>
  <sheetFormatPr defaultRowHeight="15" x14ac:dyDescent="0.25"/>
  <cols>
    <col min="2" max="2" width="22.28515625" customWidth="1"/>
    <col min="3" max="3" width="17.28515625" customWidth="1"/>
    <col min="6" max="6" width="17.42578125" customWidth="1"/>
    <col min="7" max="7" width="21.140625" customWidth="1"/>
  </cols>
  <sheetData>
    <row r="1" spans="2:7" x14ac:dyDescent="0.25">
      <c r="G1" s="18"/>
    </row>
    <row r="2" spans="2:7" x14ac:dyDescent="0.25">
      <c r="B2" s="17" t="s">
        <v>51</v>
      </c>
      <c r="C2" s="17" t="s">
        <v>50</v>
      </c>
      <c r="F2" s="17" t="s">
        <v>49</v>
      </c>
      <c r="G2" s="16">
        <f>COUNT(C3:C15)</f>
        <v>13</v>
      </c>
    </row>
    <row r="3" spans="2:7" x14ac:dyDescent="0.25">
      <c r="B3" s="15" t="s">
        <v>48</v>
      </c>
      <c r="C3" s="15">
        <v>80</v>
      </c>
    </row>
    <row r="4" spans="2:7" x14ac:dyDescent="0.25">
      <c r="B4" s="15" t="s">
        <v>47</v>
      </c>
      <c r="C4" s="15">
        <v>95</v>
      </c>
    </row>
    <row r="5" spans="2:7" x14ac:dyDescent="0.25">
      <c r="B5" s="15" t="s">
        <v>46</v>
      </c>
      <c r="C5" s="15">
        <v>100</v>
      </c>
    </row>
    <row r="6" spans="2:7" x14ac:dyDescent="0.25">
      <c r="B6" s="15" t="s">
        <v>45</v>
      </c>
      <c r="C6" s="15">
        <v>75</v>
      </c>
    </row>
    <row r="7" spans="2:7" x14ac:dyDescent="0.25">
      <c r="B7" s="15" t="s">
        <v>44</v>
      </c>
      <c r="C7" s="15">
        <v>87</v>
      </c>
    </row>
    <row r="8" spans="2:7" x14ac:dyDescent="0.25">
      <c r="B8" s="15" t="s">
        <v>43</v>
      </c>
      <c r="C8" s="15">
        <v>45</v>
      </c>
    </row>
    <row r="9" spans="2:7" x14ac:dyDescent="0.25">
      <c r="B9" s="15" t="s">
        <v>42</v>
      </c>
      <c r="C9" s="15">
        <v>40</v>
      </c>
    </row>
    <row r="10" spans="2:7" x14ac:dyDescent="0.25">
      <c r="B10" s="15" t="s">
        <v>41</v>
      </c>
      <c r="C10" s="15">
        <v>65</v>
      </c>
    </row>
    <row r="11" spans="2:7" x14ac:dyDescent="0.25">
      <c r="B11" s="15" t="s">
        <v>40</v>
      </c>
      <c r="C11" s="15">
        <v>72</v>
      </c>
    </row>
    <row r="12" spans="2:7" x14ac:dyDescent="0.25">
      <c r="B12" s="15" t="s">
        <v>39</v>
      </c>
      <c r="C12" s="15">
        <v>75</v>
      </c>
    </row>
    <row r="13" spans="2:7" x14ac:dyDescent="0.25">
      <c r="B13" s="15" t="s">
        <v>38</v>
      </c>
      <c r="C13" s="15">
        <v>96</v>
      </c>
    </row>
    <row r="14" spans="2:7" x14ac:dyDescent="0.25">
      <c r="B14" s="15" t="s">
        <v>37</v>
      </c>
      <c r="C14" s="15">
        <v>100</v>
      </c>
    </row>
    <row r="15" spans="2:7" x14ac:dyDescent="0.25">
      <c r="B15" s="15" t="s">
        <v>36</v>
      </c>
      <c r="C15" s="15">
        <v>24</v>
      </c>
    </row>
    <row r="16" spans="2:7" x14ac:dyDescent="0.25">
      <c r="C16">
        <f>COUNT(C3:C15)</f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1B502-6693-485F-B401-188E5E578BF9}">
  <dimension ref="B1:G14"/>
  <sheetViews>
    <sheetView zoomScale="130" zoomScaleNormal="130" workbookViewId="0">
      <selection activeCell="G7" sqref="G7"/>
    </sheetView>
  </sheetViews>
  <sheetFormatPr defaultRowHeight="15" x14ac:dyDescent="0.25"/>
  <cols>
    <col min="3" max="6" width="11.28515625" bestFit="1" customWidth="1"/>
    <col min="7" max="7" width="13.42578125" customWidth="1"/>
  </cols>
  <sheetData>
    <row r="1" spans="2:7" ht="15.75" thickBot="1" x14ac:dyDescent="0.3"/>
    <row r="2" spans="2:7" ht="15.75" thickBot="1" x14ac:dyDescent="0.3">
      <c r="B2" s="10"/>
      <c r="C2" s="11">
        <v>2021</v>
      </c>
      <c r="D2" s="11">
        <v>2020</v>
      </c>
      <c r="E2" s="11">
        <v>2019</v>
      </c>
      <c r="F2" s="11">
        <v>2018</v>
      </c>
      <c r="G2" s="19" t="s">
        <v>52</v>
      </c>
    </row>
    <row r="3" spans="2:7" ht="15.75" thickBot="1" x14ac:dyDescent="0.3">
      <c r="B3" s="11" t="s">
        <v>13</v>
      </c>
      <c r="C3" s="12">
        <v>9936</v>
      </c>
      <c r="D3" s="12">
        <v>7834</v>
      </c>
      <c r="E3" s="12">
        <v>6247</v>
      </c>
      <c r="F3" s="12">
        <v>8533</v>
      </c>
      <c r="G3" s="20">
        <f>AVERAGE(C3:F3)</f>
        <v>8137.5</v>
      </c>
    </row>
    <row r="4" spans="2:7" ht="15.75" thickBot="1" x14ac:dyDescent="0.3">
      <c r="B4" s="11" t="s">
        <v>14</v>
      </c>
      <c r="C4" s="12">
        <v>5146</v>
      </c>
      <c r="D4" s="12">
        <v>8727</v>
      </c>
      <c r="E4" s="12">
        <v>6596</v>
      </c>
      <c r="F4" s="12">
        <v>8104</v>
      </c>
      <c r="G4" s="20">
        <f t="shared" ref="G4:G14" si="0">AVERAGE(C4:F4)</f>
        <v>7143.25</v>
      </c>
    </row>
    <row r="5" spans="2:7" ht="15.75" thickBot="1" x14ac:dyDescent="0.3">
      <c r="B5" s="11" t="s">
        <v>15</v>
      </c>
      <c r="C5" s="12">
        <v>7789</v>
      </c>
      <c r="D5" s="12">
        <v>8250</v>
      </c>
      <c r="E5" s="12">
        <v>5200</v>
      </c>
      <c r="F5" s="12">
        <v>5081</v>
      </c>
      <c r="G5" s="20">
        <f t="shared" si="0"/>
        <v>6580</v>
      </c>
    </row>
    <row r="6" spans="2:7" ht="15.75" thickBot="1" x14ac:dyDescent="0.3">
      <c r="B6" s="11" t="s">
        <v>16</v>
      </c>
      <c r="C6" s="12">
        <v>9943</v>
      </c>
      <c r="D6" s="12">
        <v>6422</v>
      </c>
      <c r="E6" s="12">
        <v>8222</v>
      </c>
      <c r="F6" s="12">
        <v>6360</v>
      </c>
      <c r="G6" s="20">
        <f t="shared" si="0"/>
        <v>7736.75</v>
      </c>
    </row>
    <row r="7" spans="2:7" ht="15.75" thickBot="1" x14ac:dyDescent="0.3">
      <c r="B7" s="11" t="s">
        <v>17</v>
      </c>
      <c r="C7" s="12">
        <v>7634</v>
      </c>
      <c r="D7" s="12">
        <v>7356</v>
      </c>
      <c r="E7" s="12">
        <v>7118</v>
      </c>
      <c r="F7" s="12">
        <v>5484</v>
      </c>
      <c r="G7" s="20">
        <f t="shared" si="0"/>
        <v>6898</v>
      </c>
    </row>
    <row r="8" spans="2:7" ht="15.75" thickBot="1" x14ac:dyDescent="0.3">
      <c r="B8" s="11" t="s">
        <v>18</v>
      </c>
      <c r="C8" s="12">
        <v>8651</v>
      </c>
      <c r="D8" s="12">
        <v>5273</v>
      </c>
      <c r="E8" s="12">
        <v>8714</v>
      </c>
      <c r="F8" s="12">
        <v>7997</v>
      </c>
      <c r="G8" s="20">
        <f t="shared" si="0"/>
        <v>7658.75</v>
      </c>
    </row>
    <row r="9" spans="2:7" ht="15.75" thickBot="1" x14ac:dyDescent="0.3">
      <c r="B9" s="11" t="s">
        <v>19</v>
      </c>
      <c r="C9" s="12">
        <v>8029</v>
      </c>
      <c r="D9" s="12">
        <v>5538</v>
      </c>
      <c r="E9" s="12">
        <v>6244</v>
      </c>
      <c r="F9" s="12">
        <v>7908</v>
      </c>
      <c r="G9" s="20">
        <f t="shared" si="0"/>
        <v>6929.75</v>
      </c>
    </row>
    <row r="10" spans="2:7" ht="15.75" thickBot="1" x14ac:dyDescent="0.3">
      <c r="B10" s="11" t="s">
        <v>20</v>
      </c>
      <c r="C10" s="12">
        <v>7029</v>
      </c>
      <c r="D10" s="12">
        <v>9088</v>
      </c>
      <c r="E10" s="12">
        <v>6154</v>
      </c>
      <c r="F10" s="12">
        <v>9438</v>
      </c>
      <c r="G10" s="20">
        <f t="shared" si="0"/>
        <v>7927.25</v>
      </c>
    </row>
    <row r="11" spans="2:7" ht="15.75" thickBot="1" x14ac:dyDescent="0.3">
      <c r="B11" s="11" t="s">
        <v>21</v>
      </c>
      <c r="C11" s="12">
        <v>7478</v>
      </c>
      <c r="D11" s="12">
        <v>7621</v>
      </c>
      <c r="E11" s="12">
        <v>9216</v>
      </c>
      <c r="F11" s="12">
        <v>6957</v>
      </c>
      <c r="G11" s="20">
        <f t="shared" si="0"/>
        <v>7818</v>
      </c>
    </row>
    <row r="12" spans="2:7" ht="15.75" thickBot="1" x14ac:dyDescent="0.3">
      <c r="B12" s="11" t="s">
        <v>22</v>
      </c>
      <c r="C12" s="12">
        <v>7619</v>
      </c>
      <c r="D12" s="12">
        <v>5848</v>
      </c>
      <c r="E12" s="12">
        <v>6524</v>
      </c>
      <c r="F12" s="12">
        <v>9581</v>
      </c>
      <c r="G12" s="20">
        <f t="shared" si="0"/>
        <v>7393</v>
      </c>
    </row>
    <row r="13" spans="2:7" ht="15.75" thickBot="1" x14ac:dyDescent="0.3">
      <c r="B13" s="11" t="s">
        <v>23</v>
      </c>
      <c r="C13" s="12">
        <v>9393</v>
      </c>
      <c r="D13" s="12">
        <v>8009</v>
      </c>
      <c r="E13" s="12">
        <v>5200</v>
      </c>
      <c r="F13" s="12">
        <v>6435</v>
      </c>
      <c r="G13" s="20">
        <f t="shared" si="0"/>
        <v>7259.25</v>
      </c>
    </row>
    <row r="14" spans="2:7" ht="15.75" thickBot="1" x14ac:dyDescent="0.3">
      <c r="B14" s="11" t="s">
        <v>24</v>
      </c>
      <c r="C14" s="12">
        <v>5803</v>
      </c>
      <c r="D14" s="12">
        <v>8453</v>
      </c>
      <c r="E14" s="12">
        <v>7136</v>
      </c>
      <c r="F14" s="12">
        <v>8145</v>
      </c>
      <c r="G14" s="20">
        <f t="shared" si="0"/>
        <v>7384.25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22B53-A750-4750-B7F3-2007BEE4CF35}">
  <dimension ref="B1:H14"/>
  <sheetViews>
    <sheetView zoomScale="130" zoomScaleNormal="130" workbookViewId="0">
      <selection activeCell="G9" sqref="G9"/>
    </sheetView>
  </sheetViews>
  <sheetFormatPr defaultRowHeight="15" x14ac:dyDescent="0.25"/>
  <cols>
    <col min="3" max="6" width="11.28515625" bestFit="1" customWidth="1"/>
    <col min="7" max="7" width="14.42578125" bestFit="1" customWidth="1"/>
    <col min="8" max="8" width="14.7109375" bestFit="1" customWidth="1"/>
  </cols>
  <sheetData>
    <row r="1" spans="2:8" ht="15.75" thickBot="1" x14ac:dyDescent="0.3"/>
    <row r="2" spans="2:8" ht="15.75" thickBot="1" x14ac:dyDescent="0.3">
      <c r="B2" s="10"/>
      <c r="C2" s="11">
        <v>2021</v>
      </c>
      <c r="D2" s="11">
        <v>2020</v>
      </c>
      <c r="E2" s="11">
        <v>2019</v>
      </c>
      <c r="F2" s="11">
        <v>2018</v>
      </c>
      <c r="G2" s="19" t="s">
        <v>53</v>
      </c>
      <c r="H2" s="19" t="s">
        <v>54</v>
      </c>
    </row>
    <row r="3" spans="2:8" ht="15.75" thickBot="1" x14ac:dyDescent="0.3">
      <c r="B3" s="11" t="s">
        <v>13</v>
      </c>
      <c r="C3" s="12">
        <v>9936</v>
      </c>
      <c r="D3" s="12">
        <v>7834</v>
      </c>
      <c r="E3" s="12">
        <v>6247</v>
      </c>
      <c r="F3" s="12">
        <v>8533</v>
      </c>
      <c r="G3" s="20">
        <f>MIN(C3:F3)</f>
        <v>6247</v>
      </c>
      <c r="H3" s="20">
        <f>MAX(C3:F3)</f>
        <v>9936</v>
      </c>
    </row>
    <row r="4" spans="2:8" ht="15.75" thickBot="1" x14ac:dyDescent="0.3">
      <c r="B4" s="11" t="s">
        <v>14</v>
      </c>
      <c r="C4" s="12">
        <v>5146</v>
      </c>
      <c r="D4" s="12">
        <v>8727</v>
      </c>
      <c r="E4" s="12">
        <v>6596</v>
      </c>
      <c r="F4" s="12">
        <v>8104</v>
      </c>
      <c r="G4" s="20">
        <f t="shared" ref="G4:G14" si="0">MIN(C4:F4)</f>
        <v>5146</v>
      </c>
      <c r="H4" s="20">
        <f t="shared" ref="H4:H14" si="1">MAX(C4:F4)</f>
        <v>8727</v>
      </c>
    </row>
    <row r="5" spans="2:8" ht="15.75" thickBot="1" x14ac:dyDescent="0.3">
      <c r="B5" s="11" t="s">
        <v>15</v>
      </c>
      <c r="C5" s="12">
        <v>7789</v>
      </c>
      <c r="D5" s="12">
        <v>8250</v>
      </c>
      <c r="E5" s="12">
        <v>5200</v>
      </c>
      <c r="F5" s="12">
        <v>5081</v>
      </c>
      <c r="G5" s="20">
        <f t="shared" si="0"/>
        <v>5081</v>
      </c>
      <c r="H5" s="20">
        <f t="shared" si="1"/>
        <v>8250</v>
      </c>
    </row>
    <row r="6" spans="2:8" ht="15.75" thickBot="1" x14ac:dyDescent="0.3">
      <c r="B6" s="11" t="s">
        <v>16</v>
      </c>
      <c r="C6" s="12">
        <v>9943</v>
      </c>
      <c r="D6" s="12">
        <v>6422</v>
      </c>
      <c r="E6" s="12">
        <v>8222</v>
      </c>
      <c r="F6" s="12">
        <v>6360</v>
      </c>
      <c r="G6" s="20">
        <f t="shared" si="0"/>
        <v>6360</v>
      </c>
      <c r="H6" s="20">
        <f t="shared" si="1"/>
        <v>9943</v>
      </c>
    </row>
    <row r="7" spans="2:8" ht="15.75" thickBot="1" x14ac:dyDescent="0.3">
      <c r="B7" s="11" t="s">
        <v>17</v>
      </c>
      <c r="C7" s="12">
        <v>7634</v>
      </c>
      <c r="D7" s="12">
        <v>7356</v>
      </c>
      <c r="E7" s="12">
        <v>7118</v>
      </c>
      <c r="F7" s="12">
        <v>5484</v>
      </c>
      <c r="G7" s="20">
        <f t="shared" si="0"/>
        <v>5484</v>
      </c>
      <c r="H7" s="20">
        <f t="shared" si="1"/>
        <v>7634</v>
      </c>
    </row>
    <row r="8" spans="2:8" ht="15.75" thickBot="1" x14ac:dyDescent="0.3">
      <c r="B8" s="11" t="s">
        <v>18</v>
      </c>
      <c r="C8" s="12">
        <v>8651</v>
      </c>
      <c r="D8" s="12">
        <v>5273</v>
      </c>
      <c r="E8" s="12">
        <v>8714</v>
      </c>
      <c r="F8" s="12">
        <v>7997</v>
      </c>
      <c r="G8" s="20">
        <f t="shared" si="0"/>
        <v>5273</v>
      </c>
      <c r="H8" s="20">
        <f t="shared" si="1"/>
        <v>8714</v>
      </c>
    </row>
    <row r="9" spans="2:8" ht="15.75" thickBot="1" x14ac:dyDescent="0.3">
      <c r="B9" s="11" t="s">
        <v>19</v>
      </c>
      <c r="C9" s="12">
        <v>8029</v>
      </c>
      <c r="D9" s="12">
        <v>5538</v>
      </c>
      <c r="E9" s="12">
        <v>6244</v>
      </c>
      <c r="F9" s="12">
        <v>7908</v>
      </c>
      <c r="G9" s="20">
        <f t="shared" si="0"/>
        <v>5538</v>
      </c>
      <c r="H9" s="20">
        <f t="shared" si="1"/>
        <v>8029</v>
      </c>
    </row>
    <row r="10" spans="2:8" ht="15.75" thickBot="1" x14ac:dyDescent="0.3">
      <c r="B10" s="11" t="s">
        <v>20</v>
      </c>
      <c r="C10" s="12">
        <v>7029</v>
      </c>
      <c r="D10" s="12">
        <v>9088</v>
      </c>
      <c r="E10" s="12">
        <v>6154</v>
      </c>
      <c r="F10" s="12">
        <v>9438</v>
      </c>
      <c r="G10" s="20">
        <f t="shared" si="0"/>
        <v>6154</v>
      </c>
      <c r="H10" s="20">
        <f t="shared" si="1"/>
        <v>9438</v>
      </c>
    </row>
    <row r="11" spans="2:8" ht="15.75" thickBot="1" x14ac:dyDescent="0.3">
      <c r="B11" s="11" t="s">
        <v>21</v>
      </c>
      <c r="C11" s="12">
        <v>7478</v>
      </c>
      <c r="D11" s="12">
        <v>7621</v>
      </c>
      <c r="E11" s="12">
        <v>9216</v>
      </c>
      <c r="F11" s="12">
        <v>6957</v>
      </c>
      <c r="G11" s="20">
        <f t="shared" si="0"/>
        <v>6957</v>
      </c>
      <c r="H11" s="20">
        <f t="shared" si="1"/>
        <v>9216</v>
      </c>
    </row>
    <row r="12" spans="2:8" ht="15.75" thickBot="1" x14ac:dyDescent="0.3">
      <c r="B12" s="11" t="s">
        <v>22</v>
      </c>
      <c r="C12" s="12">
        <v>7619</v>
      </c>
      <c r="D12" s="12">
        <v>5848</v>
      </c>
      <c r="E12" s="12">
        <v>6524</v>
      </c>
      <c r="F12" s="12">
        <v>9581</v>
      </c>
      <c r="G12" s="20">
        <f t="shared" si="0"/>
        <v>5848</v>
      </c>
      <c r="H12" s="20">
        <f t="shared" si="1"/>
        <v>9581</v>
      </c>
    </row>
    <row r="13" spans="2:8" ht="15.75" thickBot="1" x14ac:dyDescent="0.3">
      <c r="B13" s="11" t="s">
        <v>23</v>
      </c>
      <c r="C13" s="12">
        <v>9393</v>
      </c>
      <c r="D13" s="12">
        <v>8009</v>
      </c>
      <c r="E13" s="12">
        <v>5200</v>
      </c>
      <c r="F13" s="12">
        <v>6435</v>
      </c>
      <c r="G13" s="20">
        <f t="shared" si="0"/>
        <v>5200</v>
      </c>
      <c r="H13" s="20">
        <f t="shared" si="1"/>
        <v>9393</v>
      </c>
    </row>
    <row r="14" spans="2:8" ht="15.75" thickBot="1" x14ac:dyDescent="0.3">
      <c r="B14" s="11" t="s">
        <v>24</v>
      </c>
      <c r="C14" s="12">
        <v>5803</v>
      </c>
      <c r="D14" s="12">
        <v>8453</v>
      </c>
      <c r="E14" s="12">
        <v>7136</v>
      </c>
      <c r="F14" s="12">
        <v>8145</v>
      </c>
      <c r="G14" s="20">
        <f t="shared" si="0"/>
        <v>5803</v>
      </c>
      <c r="H14" s="20">
        <f t="shared" si="1"/>
        <v>8453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1373B-C5B6-4DF1-B494-13E8B38363C1}">
  <dimension ref="B1:L14"/>
  <sheetViews>
    <sheetView zoomScale="130" zoomScaleNormal="130" workbookViewId="0">
      <selection activeCell="I6" sqref="I6"/>
    </sheetView>
  </sheetViews>
  <sheetFormatPr defaultRowHeight="15" x14ac:dyDescent="0.25"/>
  <cols>
    <col min="3" max="3" width="11.28515625" bestFit="1" customWidth="1"/>
    <col min="4" max="4" width="13.7109375" customWidth="1"/>
    <col min="5" max="6" width="15.28515625" customWidth="1"/>
    <col min="8" max="8" width="14.5703125" bestFit="1" customWidth="1"/>
    <col min="9" max="9" width="18.5703125" customWidth="1"/>
  </cols>
  <sheetData>
    <row r="1" spans="2:12" ht="15.75" thickBot="1" x14ac:dyDescent="0.3"/>
    <row r="2" spans="2:12" ht="15.75" thickBot="1" x14ac:dyDescent="0.3">
      <c r="B2" s="10"/>
      <c r="C2" s="11">
        <v>2021</v>
      </c>
      <c r="D2" s="11">
        <v>2020</v>
      </c>
      <c r="E2" s="11">
        <v>2019</v>
      </c>
      <c r="F2" s="11">
        <v>2018</v>
      </c>
      <c r="L2" s="21"/>
    </row>
    <row r="3" spans="2:12" ht="15.75" thickBot="1" x14ac:dyDescent="0.3">
      <c r="B3" s="11" t="s">
        <v>13</v>
      </c>
      <c r="C3" s="12">
        <v>4255</v>
      </c>
      <c r="D3" s="12">
        <v>4096</v>
      </c>
      <c r="E3" s="12">
        <v>3151</v>
      </c>
      <c r="F3" s="12"/>
      <c r="H3" t="s">
        <v>55</v>
      </c>
      <c r="I3">
        <f>SUM(C14:F14)</f>
        <v>146730</v>
      </c>
    </row>
    <row r="4" spans="2:12" ht="15.75" thickBot="1" x14ac:dyDescent="0.3">
      <c r="B4" s="11" t="s">
        <v>14</v>
      </c>
      <c r="C4" s="12">
        <v>4382</v>
      </c>
      <c r="D4" s="12">
        <v>5271</v>
      </c>
      <c r="E4" s="12">
        <v>5712</v>
      </c>
      <c r="F4" s="12"/>
      <c r="H4" t="s">
        <v>57</v>
      </c>
      <c r="I4" s="12">
        <f>SUM(C13:F13)</f>
        <v>12446</v>
      </c>
    </row>
    <row r="5" spans="2:12" ht="15.75" thickBot="1" x14ac:dyDescent="0.3">
      <c r="B5" s="11" t="s">
        <v>15</v>
      </c>
      <c r="C5" s="12">
        <v>4594</v>
      </c>
      <c r="D5" s="12">
        <v>4321</v>
      </c>
      <c r="E5" s="12">
        <v>3181</v>
      </c>
      <c r="F5" s="12"/>
      <c r="H5" t="s">
        <v>56</v>
      </c>
      <c r="I5">
        <f>SUM(C6:F8)</f>
        <v>40156</v>
      </c>
    </row>
    <row r="6" spans="2:12" ht="15.75" thickBot="1" x14ac:dyDescent="0.3">
      <c r="B6" s="11" t="s">
        <v>16</v>
      </c>
      <c r="C6" s="12">
        <v>4313</v>
      </c>
      <c r="D6" s="12">
        <v>4329</v>
      </c>
      <c r="E6" s="12">
        <v>3693</v>
      </c>
      <c r="F6" s="12"/>
      <c r="H6" t="s">
        <v>58</v>
      </c>
      <c r="I6" t="e">
        <f>C14/F14</f>
        <v>#DIV/0!</v>
      </c>
    </row>
    <row r="7" spans="2:12" ht="15.75" thickBot="1" x14ac:dyDescent="0.3">
      <c r="B7" s="11" t="s">
        <v>17</v>
      </c>
      <c r="C7" s="12">
        <v>4382</v>
      </c>
      <c r="D7" s="12">
        <v>3442</v>
      </c>
      <c r="E7" s="12">
        <v>5956</v>
      </c>
      <c r="F7" s="12"/>
    </row>
    <row r="8" spans="2:12" ht="15.75" thickBot="1" x14ac:dyDescent="0.3">
      <c r="B8" s="11" t="s">
        <v>18</v>
      </c>
      <c r="C8" s="12">
        <v>5316</v>
      </c>
      <c r="D8" s="12">
        <v>4315</v>
      </c>
      <c r="E8" s="12">
        <v>4410</v>
      </c>
      <c r="F8" s="12"/>
    </row>
    <row r="9" spans="2:12" ht="15.75" thickBot="1" x14ac:dyDescent="0.3">
      <c r="B9" s="11" t="s">
        <v>19</v>
      </c>
      <c r="C9" s="12">
        <v>4482</v>
      </c>
      <c r="D9" s="12">
        <v>3751</v>
      </c>
      <c r="E9" s="12">
        <v>4935</v>
      </c>
      <c r="F9" s="12"/>
    </row>
    <row r="10" spans="2:12" ht="15.75" thickBot="1" x14ac:dyDescent="0.3">
      <c r="B10" s="11" t="s">
        <v>20</v>
      </c>
      <c r="C10" s="12">
        <v>5198</v>
      </c>
      <c r="D10" s="12">
        <v>3347</v>
      </c>
      <c r="E10" s="12">
        <v>4519</v>
      </c>
      <c r="F10" s="12"/>
    </row>
    <row r="11" spans="2:12" ht="15.75" thickBot="1" x14ac:dyDescent="0.3">
      <c r="B11" s="11" t="s">
        <v>21</v>
      </c>
      <c r="C11" s="12">
        <v>5781</v>
      </c>
      <c r="D11" s="12">
        <v>3886</v>
      </c>
      <c r="E11" s="12">
        <v>3835</v>
      </c>
      <c r="F11" s="12"/>
    </row>
    <row r="12" spans="2:12" ht="15.75" thickBot="1" x14ac:dyDescent="0.3">
      <c r="B12" s="11" t="s">
        <v>22</v>
      </c>
      <c r="C12" s="12">
        <v>4083</v>
      </c>
      <c r="D12" s="12">
        <v>5898</v>
      </c>
      <c r="E12" s="12">
        <v>5450</v>
      </c>
      <c r="F12" s="12"/>
    </row>
    <row r="13" spans="2:12" ht="15.75" thickBot="1" x14ac:dyDescent="0.3">
      <c r="B13" s="11" t="s">
        <v>23</v>
      </c>
      <c r="C13" s="12">
        <v>5705</v>
      </c>
      <c r="D13" s="12">
        <v>3017</v>
      </c>
      <c r="E13" s="12">
        <v>3724</v>
      </c>
      <c r="F13" s="12"/>
    </row>
    <row r="14" spans="2:12" ht="15.75" thickBot="1" x14ac:dyDescent="0.3">
      <c r="B14" s="11" t="s">
        <v>25</v>
      </c>
      <c r="C14" s="12">
        <f>SUM(C3:C13)</f>
        <v>52491</v>
      </c>
      <c r="D14" s="12">
        <f>SUM(D3:D13)</f>
        <v>45673</v>
      </c>
      <c r="E14" s="12">
        <f>SUM(E3:E13)</f>
        <v>48566</v>
      </c>
      <c r="F14" s="12">
        <f>SUM(F3:F13)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CFF37-CBC6-444C-AAB2-F180FB556885}">
  <dimension ref="A1:J51"/>
  <sheetViews>
    <sheetView workbookViewId="0">
      <selection activeCell="F2" sqref="F2:F51"/>
    </sheetView>
  </sheetViews>
  <sheetFormatPr defaultColWidth="8.85546875" defaultRowHeight="16.5" x14ac:dyDescent="0.3"/>
  <cols>
    <col min="1" max="1" width="29" style="1" bestFit="1" customWidth="1"/>
    <col min="2" max="2" width="27.7109375" style="1" customWidth="1"/>
    <col min="3" max="3" width="9.140625" style="1" customWidth="1"/>
    <col min="4" max="4" width="14.5703125" style="29" customWidth="1"/>
    <col min="5" max="5" width="19.140625" style="28" customWidth="1"/>
    <col min="6" max="6" width="21.140625" style="28" bestFit="1" customWidth="1"/>
    <col min="7" max="8" width="8.85546875" style="1"/>
    <col min="9" max="9" width="11.7109375" style="1" customWidth="1"/>
    <col min="10" max="10" width="14.5703125" style="1" customWidth="1"/>
    <col min="11" max="16384" width="8.85546875" style="1"/>
  </cols>
  <sheetData>
    <row r="1" spans="1:10" ht="17.25" x14ac:dyDescent="0.3">
      <c r="A1" s="22" t="s">
        <v>59</v>
      </c>
      <c r="B1" s="22" t="s">
        <v>60</v>
      </c>
      <c r="C1" s="22" t="s">
        <v>61</v>
      </c>
      <c r="D1" s="23" t="s">
        <v>62</v>
      </c>
      <c r="E1" s="24" t="s">
        <v>63</v>
      </c>
      <c r="F1" s="24" t="s">
        <v>64</v>
      </c>
      <c r="I1" s="25" t="s">
        <v>63</v>
      </c>
      <c r="J1" s="26">
        <v>0.02</v>
      </c>
    </row>
    <row r="2" spans="1:10" x14ac:dyDescent="0.3">
      <c r="A2" s="1" t="s">
        <v>65</v>
      </c>
      <c r="B2" s="1" t="s">
        <v>66</v>
      </c>
      <c r="C2" s="1">
        <v>5</v>
      </c>
      <c r="D2" s="27">
        <v>34878</v>
      </c>
      <c r="E2" s="28">
        <f>D2*$J$1</f>
        <v>697.56000000000006</v>
      </c>
      <c r="F2" s="28">
        <f>D2+E2</f>
        <v>35575.56</v>
      </c>
    </row>
    <row r="3" spans="1:10" x14ac:dyDescent="0.3">
      <c r="A3" s="1" t="s">
        <v>67</v>
      </c>
      <c r="B3" s="1" t="s">
        <v>66</v>
      </c>
      <c r="C3" s="1">
        <v>14</v>
      </c>
      <c r="D3" s="27">
        <v>43525</v>
      </c>
      <c r="E3" s="28">
        <f t="shared" ref="E3:E51" si="0">D3*$J$1</f>
        <v>870.5</v>
      </c>
      <c r="F3" s="28">
        <f t="shared" ref="F3:F51" si="1">D3+E3</f>
        <v>44395.5</v>
      </c>
    </row>
    <row r="4" spans="1:10" x14ac:dyDescent="0.3">
      <c r="A4" s="1" t="s">
        <v>68</v>
      </c>
      <c r="B4" s="1" t="s">
        <v>69</v>
      </c>
      <c r="C4" s="1">
        <v>6</v>
      </c>
      <c r="D4" s="27">
        <v>49784</v>
      </c>
      <c r="E4" s="28">
        <f t="shared" si="0"/>
        <v>995.68000000000006</v>
      </c>
      <c r="F4" s="28">
        <f t="shared" si="1"/>
        <v>50779.68</v>
      </c>
    </row>
    <row r="5" spans="1:10" x14ac:dyDescent="0.3">
      <c r="A5" s="1" t="s">
        <v>70</v>
      </c>
      <c r="B5" s="1" t="s">
        <v>71</v>
      </c>
      <c r="C5" s="1">
        <v>18</v>
      </c>
      <c r="D5" s="27">
        <v>36727</v>
      </c>
      <c r="E5" s="28">
        <f t="shared" si="0"/>
        <v>734.54</v>
      </c>
      <c r="F5" s="28">
        <f t="shared" si="1"/>
        <v>37461.54</v>
      </c>
    </row>
    <row r="6" spans="1:10" x14ac:dyDescent="0.3">
      <c r="A6" s="1" t="s">
        <v>72</v>
      </c>
      <c r="B6" s="1" t="s">
        <v>66</v>
      </c>
      <c r="C6" s="1">
        <v>17</v>
      </c>
      <c r="D6" s="27">
        <v>44658</v>
      </c>
      <c r="E6" s="28">
        <f t="shared" si="0"/>
        <v>893.16</v>
      </c>
      <c r="F6" s="28">
        <f t="shared" si="1"/>
        <v>45551.16</v>
      </c>
    </row>
    <row r="7" spans="1:10" x14ac:dyDescent="0.3">
      <c r="A7" s="1" t="s">
        <v>73</v>
      </c>
      <c r="B7" s="1" t="s">
        <v>74</v>
      </c>
      <c r="C7" s="1">
        <v>13</v>
      </c>
      <c r="D7" s="27">
        <v>26191</v>
      </c>
      <c r="E7" s="28">
        <f t="shared" si="0"/>
        <v>523.82000000000005</v>
      </c>
      <c r="F7" s="28">
        <f t="shared" si="1"/>
        <v>26714.82</v>
      </c>
    </row>
    <row r="8" spans="1:10" x14ac:dyDescent="0.3">
      <c r="A8" s="1" t="s">
        <v>75</v>
      </c>
      <c r="B8" s="1" t="s">
        <v>76</v>
      </c>
      <c r="C8" s="1">
        <v>3</v>
      </c>
      <c r="D8" s="27">
        <v>63219</v>
      </c>
      <c r="E8" s="28">
        <f t="shared" si="0"/>
        <v>1264.3800000000001</v>
      </c>
      <c r="F8" s="28">
        <f t="shared" si="1"/>
        <v>64483.38</v>
      </c>
    </row>
    <row r="9" spans="1:10" x14ac:dyDescent="0.3">
      <c r="A9" s="1" t="s">
        <v>77</v>
      </c>
      <c r="B9" s="1" t="s">
        <v>66</v>
      </c>
      <c r="C9" s="1">
        <v>2</v>
      </c>
      <c r="D9" s="27">
        <v>65180</v>
      </c>
      <c r="E9" s="28">
        <f t="shared" si="0"/>
        <v>1303.6000000000001</v>
      </c>
      <c r="F9" s="28">
        <f t="shared" si="1"/>
        <v>66483.600000000006</v>
      </c>
    </row>
    <row r="10" spans="1:10" x14ac:dyDescent="0.3">
      <c r="A10" s="1" t="s">
        <v>78</v>
      </c>
      <c r="B10" s="1" t="s">
        <v>76</v>
      </c>
      <c r="C10" s="1">
        <v>12</v>
      </c>
      <c r="D10" s="27">
        <v>36115</v>
      </c>
      <c r="E10" s="28">
        <f t="shared" si="0"/>
        <v>722.30000000000007</v>
      </c>
      <c r="F10" s="28">
        <f t="shared" si="1"/>
        <v>36837.300000000003</v>
      </c>
    </row>
    <row r="11" spans="1:10" x14ac:dyDescent="0.3">
      <c r="A11" s="1" t="s">
        <v>79</v>
      </c>
      <c r="B11" s="1" t="s">
        <v>74</v>
      </c>
      <c r="C11" s="1">
        <v>7</v>
      </c>
      <c r="D11" s="27">
        <v>36576</v>
      </c>
      <c r="E11" s="28">
        <f>D11*$J$1</f>
        <v>731.52</v>
      </c>
      <c r="F11" s="28">
        <f t="shared" si="1"/>
        <v>37307.519999999997</v>
      </c>
    </row>
    <row r="12" spans="1:10" x14ac:dyDescent="0.3">
      <c r="A12" s="1" t="s">
        <v>80</v>
      </c>
      <c r="B12" s="1" t="s">
        <v>69</v>
      </c>
      <c r="C12" s="1">
        <v>3</v>
      </c>
      <c r="D12" s="27">
        <v>46832</v>
      </c>
      <c r="E12" s="28">
        <f t="shared" si="0"/>
        <v>936.64</v>
      </c>
      <c r="F12" s="28">
        <f t="shared" si="1"/>
        <v>47768.639999999999</v>
      </c>
    </row>
    <row r="13" spans="1:10" x14ac:dyDescent="0.3">
      <c r="A13" s="1" t="s">
        <v>81</v>
      </c>
      <c r="B13" s="1" t="s">
        <v>76</v>
      </c>
      <c r="C13" s="1">
        <v>5</v>
      </c>
      <c r="D13" s="27">
        <v>55211</v>
      </c>
      <c r="E13" s="28">
        <f t="shared" si="0"/>
        <v>1104.22</v>
      </c>
      <c r="F13" s="28">
        <f t="shared" si="1"/>
        <v>56315.22</v>
      </c>
    </row>
    <row r="14" spans="1:10" x14ac:dyDescent="0.3">
      <c r="A14" s="1" t="s">
        <v>82</v>
      </c>
      <c r="B14" s="1" t="s">
        <v>66</v>
      </c>
      <c r="C14" s="1">
        <v>2</v>
      </c>
      <c r="D14" s="27">
        <v>39745</v>
      </c>
      <c r="E14" s="28">
        <f t="shared" si="0"/>
        <v>794.9</v>
      </c>
      <c r="F14" s="28">
        <f t="shared" si="1"/>
        <v>40539.9</v>
      </c>
    </row>
    <row r="15" spans="1:10" x14ac:dyDescent="0.3">
      <c r="A15" s="1" t="s">
        <v>83</v>
      </c>
      <c r="B15" s="1" t="s">
        <v>66</v>
      </c>
      <c r="C15" s="1">
        <v>16</v>
      </c>
      <c r="D15" s="27">
        <v>52100</v>
      </c>
      <c r="E15" s="28">
        <f t="shared" si="0"/>
        <v>1042</v>
      </c>
      <c r="F15" s="28">
        <f t="shared" si="1"/>
        <v>53142</v>
      </c>
    </row>
    <row r="16" spans="1:10" x14ac:dyDescent="0.3">
      <c r="A16" s="1" t="s">
        <v>84</v>
      </c>
      <c r="B16" s="1" t="s">
        <v>69</v>
      </c>
      <c r="C16" s="1">
        <v>4</v>
      </c>
      <c r="D16" s="27">
        <v>40004</v>
      </c>
      <c r="E16" s="28">
        <f t="shared" si="0"/>
        <v>800.08</v>
      </c>
      <c r="F16" s="28">
        <f t="shared" si="1"/>
        <v>40804.080000000002</v>
      </c>
    </row>
    <row r="17" spans="1:6" x14ac:dyDescent="0.3">
      <c r="A17" s="1" t="s">
        <v>85</v>
      </c>
      <c r="B17" s="1" t="s">
        <v>71</v>
      </c>
      <c r="C17" s="1">
        <v>8</v>
      </c>
      <c r="D17" s="27">
        <v>79234</v>
      </c>
      <c r="E17" s="28">
        <f t="shared" si="0"/>
        <v>1584.68</v>
      </c>
      <c r="F17" s="28">
        <f t="shared" si="1"/>
        <v>80818.679999999993</v>
      </c>
    </row>
    <row r="18" spans="1:6" x14ac:dyDescent="0.3">
      <c r="A18" s="1" t="s">
        <v>86</v>
      </c>
      <c r="B18" s="1" t="s">
        <v>66</v>
      </c>
      <c r="C18" s="1">
        <v>12</v>
      </c>
      <c r="D18" s="27">
        <v>58293</v>
      </c>
      <c r="E18" s="28">
        <f t="shared" si="0"/>
        <v>1165.8600000000001</v>
      </c>
      <c r="F18" s="28">
        <f t="shared" si="1"/>
        <v>59458.86</v>
      </c>
    </row>
    <row r="19" spans="1:6" x14ac:dyDescent="0.3">
      <c r="A19" s="1" t="s">
        <v>87</v>
      </c>
      <c r="B19" s="1" t="s">
        <v>74</v>
      </c>
      <c r="C19" s="1">
        <v>16</v>
      </c>
      <c r="D19" s="27">
        <v>40521</v>
      </c>
      <c r="E19" s="28">
        <f t="shared" si="0"/>
        <v>810.42000000000007</v>
      </c>
      <c r="F19" s="28">
        <f t="shared" si="1"/>
        <v>41331.42</v>
      </c>
    </row>
    <row r="20" spans="1:6" x14ac:dyDescent="0.3">
      <c r="A20" s="1" t="s">
        <v>88</v>
      </c>
      <c r="B20" s="1" t="s">
        <v>76</v>
      </c>
      <c r="C20" s="1">
        <v>3</v>
      </c>
      <c r="D20" s="27">
        <v>27714</v>
      </c>
      <c r="E20" s="28">
        <f t="shared" si="0"/>
        <v>554.28</v>
      </c>
      <c r="F20" s="28">
        <f t="shared" si="1"/>
        <v>28268.28</v>
      </c>
    </row>
    <row r="21" spans="1:6" x14ac:dyDescent="0.3">
      <c r="A21" s="1" t="s">
        <v>89</v>
      </c>
      <c r="B21" s="1" t="s">
        <v>66</v>
      </c>
      <c r="C21" s="1">
        <v>4</v>
      </c>
      <c r="D21" s="27">
        <v>66640</v>
      </c>
      <c r="E21" s="28">
        <f t="shared" si="0"/>
        <v>1332.8</v>
      </c>
      <c r="F21" s="28">
        <f t="shared" si="1"/>
        <v>67972.800000000003</v>
      </c>
    </row>
    <row r="22" spans="1:6" x14ac:dyDescent="0.3">
      <c r="A22" s="1" t="s">
        <v>90</v>
      </c>
      <c r="B22" s="1" t="s">
        <v>76</v>
      </c>
      <c r="C22" s="1">
        <v>11</v>
      </c>
      <c r="D22" s="27">
        <v>32643</v>
      </c>
      <c r="E22" s="28">
        <f t="shared" si="0"/>
        <v>652.86</v>
      </c>
      <c r="F22" s="28">
        <f t="shared" si="1"/>
        <v>33295.86</v>
      </c>
    </row>
    <row r="23" spans="1:6" x14ac:dyDescent="0.3">
      <c r="A23" s="1" t="s">
        <v>91</v>
      </c>
      <c r="B23" s="1" t="s">
        <v>74</v>
      </c>
      <c r="C23" s="1">
        <v>3</v>
      </c>
      <c r="D23" s="27">
        <v>60673</v>
      </c>
      <c r="E23" s="28">
        <f t="shared" si="0"/>
        <v>1213.46</v>
      </c>
      <c r="F23" s="28">
        <f t="shared" si="1"/>
        <v>61886.46</v>
      </c>
    </row>
    <row r="24" spans="1:6" x14ac:dyDescent="0.3">
      <c r="A24" s="1" t="s">
        <v>92</v>
      </c>
      <c r="B24" s="1" t="s">
        <v>69</v>
      </c>
      <c r="C24" s="1">
        <v>14</v>
      </c>
      <c r="D24" s="27">
        <v>35943</v>
      </c>
      <c r="E24" s="28">
        <f t="shared" si="0"/>
        <v>718.86</v>
      </c>
      <c r="F24" s="28">
        <f t="shared" si="1"/>
        <v>36661.86</v>
      </c>
    </row>
    <row r="25" spans="1:6" x14ac:dyDescent="0.3">
      <c r="A25" s="1" t="s">
        <v>93</v>
      </c>
      <c r="B25" s="1" t="s">
        <v>76</v>
      </c>
      <c r="C25" s="1">
        <v>17</v>
      </c>
      <c r="D25" s="27">
        <v>37250</v>
      </c>
      <c r="E25" s="28">
        <f t="shared" si="0"/>
        <v>745</v>
      </c>
      <c r="F25" s="28">
        <f t="shared" si="1"/>
        <v>37995</v>
      </c>
    </row>
    <row r="26" spans="1:6" x14ac:dyDescent="0.3">
      <c r="A26" s="1" t="s">
        <v>94</v>
      </c>
      <c r="B26" s="1" t="s">
        <v>66</v>
      </c>
      <c r="C26" s="1">
        <v>11</v>
      </c>
      <c r="D26" s="27">
        <v>57185</v>
      </c>
      <c r="E26" s="28">
        <f t="shared" si="0"/>
        <v>1143.7</v>
      </c>
      <c r="F26" s="28">
        <f t="shared" si="1"/>
        <v>58328.7</v>
      </c>
    </row>
    <row r="27" spans="1:6" x14ac:dyDescent="0.3">
      <c r="A27" s="1" t="s">
        <v>95</v>
      </c>
      <c r="B27" s="1" t="s">
        <v>66</v>
      </c>
      <c r="C27" s="1">
        <v>4</v>
      </c>
      <c r="D27" s="27">
        <v>62631</v>
      </c>
      <c r="E27" s="28">
        <f t="shared" si="0"/>
        <v>1252.6200000000001</v>
      </c>
      <c r="F27" s="28">
        <f t="shared" si="1"/>
        <v>63883.62</v>
      </c>
    </row>
    <row r="28" spans="1:6" x14ac:dyDescent="0.3">
      <c r="A28" s="1" t="s">
        <v>96</v>
      </c>
      <c r="B28" s="1" t="s">
        <v>69</v>
      </c>
      <c r="C28" s="1">
        <v>19</v>
      </c>
      <c r="D28" s="27">
        <v>34688</v>
      </c>
      <c r="E28" s="28">
        <f t="shared" si="0"/>
        <v>693.76</v>
      </c>
      <c r="F28" s="28">
        <f t="shared" si="1"/>
        <v>35381.760000000002</v>
      </c>
    </row>
    <row r="29" spans="1:6" x14ac:dyDescent="0.3">
      <c r="A29" s="1" t="s">
        <v>97</v>
      </c>
      <c r="B29" s="1" t="s">
        <v>71</v>
      </c>
      <c r="C29" s="1">
        <v>2</v>
      </c>
      <c r="D29" s="27">
        <v>39300</v>
      </c>
      <c r="E29" s="28">
        <f t="shared" si="0"/>
        <v>786</v>
      </c>
      <c r="F29" s="28">
        <f t="shared" si="1"/>
        <v>40086</v>
      </c>
    </row>
    <row r="30" spans="1:6" x14ac:dyDescent="0.3">
      <c r="A30" s="1" t="s">
        <v>98</v>
      </c>
      <c r="B30" s="1" t="s">
        <v>66</v>
      </c>
      <c r="C30" s="1">
        <v>12</v>
      </c>
      <c r="D30" s="27">
        <v>64025</v>
      </c>
      <c r="E30" s="28">
        <f t="shared" si="0"/>
        <v>1280.5</v>
      </c>
      <c r="F30" s="28">
        <f t="shared" si="1"/>
        <v>65305.5</v>
      </c>
    </row>
    <row r="31" spans="1:6" x14ac:dyDescent="0.3">
      <c r="A31" s="1" t="s">
        <v>99</v>
      </c>
      <c r="B31" s="1" t="s">
        <v>74</v>
      </c>
      <c r="C31" s="1">
        <v>17</v>
      </c>
      <c r="D31" s="27">
        <v>72546</v>
      </c>
      <c r="E31" s="28">
        <f t="shared" si="0"/>
        <v>1450.92</v>
      </c>
      <c r="F31" s="28">
        <f t="shared" si="1"/>
        <v>73996.92</v>
      </c>
    </row>
    <row r="32" spans="1:6" x14ac:dyDescent="0.3">
      <c r="A32" s="1" t="s">
        <v>100</v>
      </c>
      <c r="B32" s="1" t="s">
        <v>76</v>
      </c>
      <c r="C32" s="1">
        <v>20</v>
      </c>
      <c r="D32" s="27">
        <v>71389</v>
      </c>
      <c r="E32" s="28">
        <f t="shared" si="0"/>
        <v>1427.78</v>
      </c>
      <c r="F32" s="28">
        <f t="shared" si="1"/>
        <v>72816.78</v>
      </c>
    </row>
    <row r="33" spans="1:6" x14ac:dyDescent="0.3">
      <c r="A33" s="1" t="s">
        <v>101</v>
      </c>
      <c r="B33" s="1" t="s">
        <v>66</v>
      </c>
      <c r="C33" s="1">
        <v>6</v>
      </c>
      <c r="D33" s="27">
        <v>78146</v>
      </c>
      <c r="E33" s="28">
        <f t="shared" si="0"/>
        <v>1562.92</v>
      </c>
      <c r="F33" s="28">
        <f t="shared" si="1"/>
        <v>79708.92</v>
      </c>
    </row>
    <row r="34" spans="1:6" x14ac:dyDescent="0.3">
      <c r="A34" s="1" t="s">
        <v>102</v>
      </c>
      <c r="B34" s="1" t="s">
        <v>76</v>
      </c>
      <c r="C34" s="1">
        <v>15</v>
      </c>
      <c r="D34" s="27">
        <v>54981</v>
      </c>
      <c r="E34" s="28">
        <f t="shared" si="0"/>
        <v>1099.6200000000001</v>
      </c>
      <c r="F34" s="28">
        <f t="shared" si="1"/>
        <v>56080.62</v>
      </c>
    </row>
    <row r="35" spans="1:6" x14ac:dyDescent="0.3">
      <c r="A35" s="1" t="s">
        <v>103</v>
      </c>
      <c r="B35" s="1" t="s">
        <v>74</v>
      </c>
      <c r="C35" s="1">
        <v>1</v>
      </c>
      <c r="D35" s="27">
        <v>58516</v>
      </c>
      <c r="E35" s="28">
        <f t="shared" si="0"/>
        <v>1170.32</v>
      </c>
      <c r="F35" s="28">
        <f t="shared" si="1"/>
        <v>59686.32</v>
      </c>
    </row>
    <row r="36" spans="1:6" x14ac:dyDescent="0.3">
      <c r="A36" s="1" t="s">
        <v>104</v>
      </c>
      <c r="B36" s="1" t="s">
        <v>69</v>
      </c>
      <c r="C36" s="1">
        <v>4</v>
      </c>
      <c r="D36" s="27">
        <v>28945</v>
      </c>
      <c r="E36" s="28">
        <f t="shared" si="0"/>
        <v>578.9</v>
      </c>
      <c r="F36" s="28">
        <f t="shared" si="1"/>
        <v>29523.9</v>
      </c>
    </row>
    <row r="37" spans="1:6" x14ac:dyDescent="0.3">
      <c r="A37" s="1" t="s">
        <v>105</v>
      </c>
      <c r="B37" s="1" t="s">
        <v>76</v>
      </c>
      <c r="C37" s="1">
        <v>7</v>
      </c>
      <c r="D37" s="27">
        <v>41363</v>
      </c>
      <c r="E37" s="28">
        <f t="shared" si="0"/>
        <v>827.26</v>
      </c>
      <c r="F37" s="28">
        <f t="shared" si="1"/>
        <v>42190.26</v>
      </c>
    </row>
    <row r="38" spans="1:6" x14ac:dyDescent="0.3">
      <c r="A38" s="1" t="s">
        <v>106</v>
      </c>
      <c r="B38" s="1" t="s">
        <v>66</v>
      </c>
      <c r="C38" s="1">
        <v>14</v>
      </c>
      <c r="D38" s="27">
        <v>46935</v>
      </c>
      <c r="E38" s="28">
        <f t="shared" si="0"/>
        <v>938.7</v>
      </c>
      <c r="F38" s="28">
        <f t="shared" si="1"/>
        <v>47873.7</v>
      </c>
    </row>
    <row r="39" spans="1:6" x14ac:dyDescent="0.3">
      <c r="A39" s="1" t="s">
        <v>107</v>
      </c>
      <c r="B39" s="1" t="s">
        <v>66</v>
      </c>
      <c r="C39" s="1">
        <v>12</v>
      </c>
      <c r="D39" s="27">
        <v>38856</v>
      </c>
      <c r="E39" s="28">
        <f t="shared" si="0"/>
        <v>777.12</v>
      </c>
      <c r="F39" s="28">
        <f t="shared" si="1"/>
        <v>39633.120000000003</v>
      </c>
    </row>
    <row r="40" spans="1:6" x14ac:dyDescent="0.3">
      <c r="A40" s="1" t="s">
        <v>108</v>
      </c>
      <c r="B40" s="1" t="s">
        <v>69</v>
      </c>
      <c r="C40" s="1">
        <v>6</v>
      </c>
      <c r="D40" s="27">
        <v>58682</v>
      </c>
      <c r="E40" s="28">
        <f t="shared" si="0"/>
        <v>1173.6400000000001</v>
      </c>
      <c r="F40" s="28">
        <f t="shared" si="1"/>
        <v>59855.64</v>
      </c>
    </row>
    <row r="41" spans="1:6" x14ac:dyDescent="0.3">
      <c r="A41" s="1" t="s">
        <v>109</v>
      </c>
      <c r="B41" s="1" t="s">
        <v>71</v>
      </c>
      <c r="C41" s="1">
        <v>18</v>
      </c>
      <c r="D41" s="27">
        <v>74534</v>
      </c>
      <c r="E41" s="28">
        <f t="shared" si="0"/>
        <v>1490.68</v>
      </c>
      <c r="F41" s="28">
        <f t="shared" si="1"/>
        <v>76024.679999999993</v>
      </c>
    </row>
    <row r="42" spans="1:6" x14ac:dyDescent="0.3">
      <c r="A42" s="1" t="s">
        <v>110</v>
      </c>
      <c r="B42" s="1" t="s">
        <v>66</v>
      </c>
      <c r="C42" s="1">
        <v>14</v>
      </c>
      <c r="D42" s="27">
        <v>53466</v>
      </c>
      <c r="E42" s="28">
        <f t="shared" si="0"/>
        <v>1069.32</v>
      </c>
      <c r="F42" s="28">
        <f t="shared" si="1"/>
        <v>54535.32</v>
      </c>
    </row>
    <row r="43" spans="1:6" x14ac:dyDescent="0.3">
      <c r="A43" s="1" t="s">
        <v>111</v>
      </c>
      <c r="B43" s="1" t="s">
        <v>74</v>
      </c>
      <c r="C43" s="1">
        <v>7</v>
      </c>
      <c r="D43" s="27">
        <v>63575</v>
      </c>
      <c r="E43" s="28">
        <f t="shared" si="0"/>
        <v>1271.5</v>
      </c>
      <c r="F43" s="28">
        <f t="shared" si="1"/>
        <v>64846.5</v>
      </c>
    </row>
    <row r="44" spans="1:6" x14ac:dyDescent="0.3">
      <c r="A44" s="1" t="s">
        <v>112</v>
      </c>
      <c r="B44" s="1" t="s">
        <v>76</v>
      </c>
      <c r="C44" s="1">
        <v>5</v>
      </c>
      <c r="D44" s="27">
        <v>58063</v>
      </c>
      <c r="E44" s="28">
        <f t="shared" si="0"/>
        <v>1161.26</v>
      </c>
      <c r="F44" s="28">
        <f t="shared" si="1"/>
        <v>59224.26</v>
      </c>
    </row>
    <row r="45" spans="1:6" x14ac:dyDescent="0.3">
      <c r="A45" s="1" t="s">
        <v>113</v>
      </c>
      <c r="B45" s="1" t="s">
        <v>66</v>
      </c>
      <c r="C45" s="1">
        <v>10</v>
      </c>
      <c r="D45" s="27">
        <v>74715</v>
      </c>
      <c r="E45" s="28">
        <f t="shared" si="0"/>
        <v>1494.3</v>
      </c>
      <c r="F45" s="28">
        <f t="shared" si="1"/>
        <v>76209.3</v>
      </c>
    </row>
    <row r="46" spans="1:6" x14ac:dyDescent="0.3">
      <c r="A46" s="1" t="s">
        <v>114</v>
      </c>
      <c r="B46" s="1" t="s">
        <v>76</v>
      </c>
      <c r="C46" s="1">
        <v>6</v>
      </c>
      <c r="D46" s="27">
        <v>68637</v>
      </c>
      <c r="E46" s="28">
        <f t="shared" si="0"/>
        <v>1372.74</v>
      </c>
      <c r="F46" s="28">
        <f t="shared" si="1"/>
        <v>70009.740000000005</v>
      </c>
    </row>
    <row r="47" spans="1:6" x14ac:dyDescent="0.3">
      <c r="A47" s="1" t="s">
        <v>115</v>
      </c>
      <c r="B47" s="1" t="s">
        <v>74</v>
      </c>
      <c r="C47" s="1">
        <v>12</v>
      </c>
      <c r="D47" s="27">
        <v>76768</v>
      </c>
      <c r="E47" s="28">
        <f t="shared" si="0"/>
        <v>1535.3600000000001</v>
      </c>
      <c r="F47" s="28">
        <f t="shared" si="1"/>
        <v>78303.360000000001</v>
      </c>
    </row>
    <row r="48" spans="1:6" x14ac:dyDescent="0.3">
      <c r="A48" s="1" t="s">
        <v>116</v>
      </c>
      <c r="B48" s="1" t="s">
        <v>69</v>
      </c>
      <c r="C48" s="1">
        <v>5</v>
      </c>
      <c r="D48" s="27">
        <v>45441</v>
      </c>
      <c r="E48" s="28">
        <f t="shared" si="0"/>
        <v>908.82</v>
      </c>
      <c r="F48" s="28">
        <f t="shared" si="1"/>
        <v>46349.82</v>
      </c>
    </row>
    <row r="49" spans="1:6" x14ac:dyDescent="0.3">
      <c r="A49" s="1" t="s">
        <v>117</v>
      </c>
      <c r="B49" s="1" t="s">
        <v>76</v>
      </c>
      <c r="C49" s="1">
        <v>8</v>
      </c>
      <c r="D49" s="27">
        <v>22444</v>
      </c>
      <c r="E49" s="28">
        <f t="shared" si="0"/>
        <v>448.88</v>
      </c>
      <c r="F49" s="28">
        <f t="shared" si="1"/>
        <v>22892.880000000001</v>
      </c>
    </row>
    <row r="50" spans="1:6" x14ac:dyDescent="0.3">
      <c r="A50" s="1" t="s">
        <v>118</v>
      </c>
      <c r="B50" s="1" t="s">
        <v>66</v>
      </c>
      <c r="C50" s="1">
        <v>7</v>
      </c>
      <c r="D50" s="27">
        <v>69822</v>
      </c>
      <c r="E50" s="28">
        <f t="shared" si="0"/>
        <v>1396.44</v>
      </c>
      <c r="F50" s="28">
        <f t="shared" si="1"/>
        <v>71218.44</v>
      </c>
    </row>
    <row r="51" spans="1:6" x14ac:dyDescent="0.3">
      <c r="A51" s="1" t="s">
        <v>119</v>
      </c>
      <c r="B51" s="1" t="s">
        <v>66</v>
      </c>
      <c r="C51" s="1">
        <v>5</v>
      </c>
      <c r="D51" s="27">
        <v>61125</v>
      </c>
      <c r="E51" s="28">
        <f t="shared" si="0"/>
        <v>1222.5</v>
      </c>
      <c r="F51" s="28">
        <f t="shared" si="1"/>
        <v>62347.5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7B43-0D35-44A9-AE5E-704859288DA8}">
  <dimension ref="B1:J18"/>
  <sheetViews>
    <sheetView topLeftCell="A2" zoomScale="130" zoomScaleNormal="130" workbookViewId="0">
      <selection activeCell="J3" sqref="J3:J14"/>
    </sheetView>
  </sheetViews>
  <sheetFormatPr defaultRowHeight="15" x14ac:dyDescent="0.25"/>
  <cols>
    <col min="2" max="2" width="10.5703125" bestFit="1" customWidth="1"/>
    <col min="3" max="3" width="11.28515625" bestFit="1" customWidth="1"/>
    <col min="4" max="4" width="13.7109375" customWidth="1"/>
    <col min="5" max="6" width="15.28515625" customWidth="1"/>
    <col min="7" max="7" width="12.7109375" customWidth="1"/>
    <col min="8" max="8" width="10.28515625" customWidth="1"/>
    <col min="9" max="9" width="10.5703125" customWidth="1"/>
    <col min="10" max="10" width="10" customWidth="1"/>
  </cols>
  <sheetData>
    <row r="1" spans="2:10" ht="15.75" thickBot="1" x14ac:dyDescent="0.3"/>
    <row r="2" spans="2:10" ht="15.75" thickBot="1" x14ac:dyDescent="0.3">
      <c r="B2" s="10"/>
      <c r="C2" s="11">
        <v>2021</v>
      </c>
      <c r="D2" s="11">
        <v>2020</v>
      </c>
      <c r="E2" s="11">
        <v>2019</v>
      </c>
      <c r="F2" s="11">
        <v>2018</v>
      </c>
      <c r="G2" s="32" t="s">
        <v>25</v>
      </c>
      <c r="H2" s="32" t="s">
        <v>52</v>
      </c>
      <c r="I2" s="32" t="s">
        <v>125</v>
      </c>
      <c r="J2" s="32" t="s">
        <v>126</v>
      </c>
    </row>
    <row r="3" spans="2:10" ht="15.75" thickBot="1" x14ac:dyDescent="0.3">
      <c r="B3" s="11" t="s">
        <v>13</v>
      </c>
      <c r="C3" s="12">
        <v>4255</v>
      </c>
      <c r="D3" s="12">
        <v>4096</v>
      </c>
      <c r="E3" s="12">
        <v>3151</v>
      </c>
      <c r="F3" s="12">
        <v>3848</v>
      </c>
      <c r="G3" s="12">
        <f>SUM(C3:F3)</f>
        <v>15350</v>
      </c>
      <c r="H3" s="12">
        <f>AVERAGE(C3:F3)</f>
        <v>3837.5</v>
      </c>
      <c r="I3" s="12">
        <f>MIN(C3:F3)</f>
        <v>3151</v>
      </c>
      <c r="J3" s="12">
        <f>MAX(C3:F3)</f>
        <v>4255</v>
      </c>
    </row>
    <row r="4" spans="2:10" ht="15.75" thickBot="1" x14ac:dyDescent="0.3">
      <c r="B4" s="11" t="s">
        <v>14</v>
      </c>
      <c r="C4" s="12">
        <v>4382</v>
      </c>
      <c r="D4" s="12">
        <v>5271</v>
      </c>
      <c r="E4" s="12">
        <v>5712</v>
      </c>
      <c r="F4" s="12">
        <v>3740</v>
      </c>
      <c r="G4" s="12">
        <f t="shared" ref="G4:G15" si="0">SUM(C4:F4)</f>
        <v>19105</v>
      </c>
      <c r="H4" s="12">
        <f t="shared" ref="H4:H14" si="1">AVERAGE(C4:F4)</f>
        <v>4776.25</v>
      </c>
      <c r="I4" s="12">
        <f t="shared" ref="I4:I14" si="2">MIN(C4:F4)</f>
        <v>3740</v>
      </c>
      <c r="J4" s="12">
        <f t="shared" ref="J4:J14" si="3">MAX(C4:F4)</f>
        <v>5712</v>
      </c>
    </row>
    <row r="5" spans="2:10" ht="15.75" thickBot="1" x14ac:dyDescent="0.3">
      <c r="B5" s="11" t="s">
        <v>15</v>
      </c>
      <c r="C5" s="12">
        <v>4594</v>
      </c>
      <c r="D5" s="12">
        <v>4321</v>
      </c>
      <c r="E5" s="12">
        <v>3181</v>
      </c>
      <c r="F5" s="12">
        <v>5351</v>
      </c>
      <c r="G5" s="12">
        <f t="shared" si="0"/>
        <v>17447</v>
      </c>
      <c r="H5" s="12">
        <f t="shared" si="1"/>
        <v>4361.75</v>
      </c>
      <c r="I5" s="12">
        <f t="shared" si="2"/>
        <v>3181</v>
      </c>
      <c r="J5" s="12">
        <f t="shared" si="3"/>
        <v>5351</v>
      </c>
    </row>
    <row r="6" spans="2:10" ht="15.75" thickBot="1" x14ac:dyDescent="0.3">
      <c r="B6" s="11" t="s">
        <v>16</v>
      </c>
      <c r="C6" s="12">
        <v>4313</v>
      </c>
      <c r="D6" s="12">
        <v>4329</v>
      </c>
      <c r="E6" s="12">
        <v>3693</v>
      </c>
      <c r="F6" s="12">
        <v>5663</v>
      </c>
      <c r="G6" s="12">
        <f t="shared" si="0"/>
        <v>17998</v>
      </c>
      <c r="H6" s="12">
        <f t="shared" si="1"/>
        <v>4499.5</v>
      </c>
      <c r="I6" s="12">
        <f t="shared" si="2"/>
        <v>3693</v>
      </c>
      <c r="J6" s="12">
        <f t="shared" si="3"/>
        <v>5663</v>
      </c>
    </row>
    <row r="7" spans="2:10" ht="15.75" thickBot="1" x14ac:dyDescent="0.3">
      <c r="B7" s="11" t="s">
        <v>17</v>
      </c>
      <c r="C7" s="12">
        <v>4382</v>
      </c>
      <c r="D7" s="12">
        <v>3442</v>
      </c>
      <c r="E7" s="12">
        <v>5956</v>
      </c>
      <c r="F7" s="12">
        <v>4748</v>
      </c>
      <c r="G7" s="12">
        <f t="shared" si="0"/>
        <v>18528</v>
      </c>
      <c r="H7" s="12">
        <f t="shared" si="1"/>
        <v>4632</v>
      </c>
      <c r="I7" s="12">
        <f t="shared" si="2"/>
        <v>3442</v>
      </c>
      <c r="J7" s="12">
        <f t="shared" si="3"/>
        <v>5956</v>
      </c>
    </row>
    <row r="8" spans="2:10" ht="15.75" thickBot="1" x14ac:dyDescent="0.3">
      <c r="B8" s="11" t="s">
        <v>18</v>
      </c>
      <c r="C8" s="12">
        <v>5316</v>
      </c>
      <c r="D8" s="12">
        <v>4315</v>
      </c>
      <c r="E8" s="12">
        <v>4410</v>
      </c>
      <c r="F8" s="12">
        <v>3648</v>
      </c>
      <c r="G8" s="12">
        <f t="shared" si="0"/>
        <v>17689</v>
      </c>
      <c r="H8" s="12">
        <f t="shared" si="1"/>
        <v>4422.25</v>
      </c>
      <c r="I8" s="12">
        <f t="shared" si="2"/>
        <v>3648</v>
      </c>
      <c r="J8" s="12">
        <f t="shared" si="3"/>
        <v>5316</v>
      </c>
    </row>
    <row r="9" spans="2:10" ht="15.75" thickBot="1" x14ac:dyDescent="0.3">
      <c r="B9" s="11" t="s">
        <v>19</v>
      </c>
      <c r="C9" s="12">
        <v>4482</v>
      </c>
      <c r="D9" s="12">
        <v>3751</v>
      </c>
      <c r="E9" s="12">
        <v>4935</v>
      </c>
      <c r="F9" s="12">
        <v>4817</v>
      </c>
      <c r="G9" s="12">
        <f t="shared" si="0"/>
        <v>17985</v>
      </c>
      <c r="H9" s="12">
        <f t="shared" si="1"/>
        <v>4496.25</v>
      </c>
      <c r="I9" s="12">
        <f t="shared" si="2"/>
        <v>3751</v>
      </c>
      <c r="J9" s="12">
        <f t="shared" si="3"/>
        <v>4935</v>
      </c>
    </row>
    <row r="10" spans="2:10" ht="15.75" thickBot="1" x14ac:dyDescent="0.3">
      <c r="B10" s="11" t="s">
        <v>20</v>
      </c>
      <c r="C10" s="12">
        <v>5198</v>
      </c>
      <c r="D10" s="12">
        <v>3347</v>
      </c>
      <c r="E10" s="12">
        <v>4519</v>
      </c>
      <c r="F10" s="12">
        <v>4047</v>
      </c>
      <c r="G10" s="12">
        <f t="shared" si="0"/>
        <v>17111</v>
      </c>
      <c r="H10" s="12">
        <f t="shared" si="1"/>
        <v>4277.75</v>
      </c>
      <c r="I10" s="12">
        <f t="shared" si="2"/>
        <v>3347</v>
      </c>
      <c r="J10" s="12">
        <f t="shared" si="3"/>
        <v>5198</v>
      </c>
    </row>
    <row r="11" spans="2:10" ht="15.75" thickBot="1" x14ac:dyDescent="0.3">
      <c r="B11" s="11" t="s">
        <v>21</v>
      </c>
      <c r="C11" s="12">
        <v>5781</v>
      </c>
      <c r="D11" s="12">
        <v>3886</v>
      </c>
      <c r="E11" s="12">
        <v>3835</v>
      </c>
      <c r="F11" s="12">
        <v>5898</v>
      </c>
      <c r="G11" s="12">
        <f t="shared" si="0"/>
        <v>19400</v>
      </c>
      <c r="H11" s="12">
        <f t="shared" si="1"/>
        <v>4850</v>
      </c>
      <c r="I11" s="12">
        <f t="shared" si="2"/>
        <v>3835</v>
      </c>
      <c r="J11" s="12">
        <f t="shared" si="3"/>
        <v>5898</v>
      </c>
    </row>
    <row r="12" spans="2:10" ht="15.75" thickBot="1" x14ac:dyDescent="0.3">
      <c r="B12" s="11" t="s">
        <v>22</v>
      </c>
      <c r="C12" s="12">
        <v>4083</v>
      </c>
      <c r="D12" s="12">
        <v>5898</v>
      </c>
      <c r="E12" s="12">
        <v>5450</v>
      </c>
      <c r="F12" s="12">
        <v>3236</v>
      </c>
      <c r="G12" s="12">
        <f t="shared" si="0"/>
        <v>18667</v>
      </c>
      <c r="H12" s="12">
        <f t="shared" si="1"/>
        <v>4666.75</v>
      </c>
      <c r="I12" s="12">
        <f t="shared" si="2"/>
        <v>3236</v>
      </c>
      <c r="J12" s="12">
        <f t="shared" si="3"/>
        <v>5898</v>
      </c>
    </row>
    <row r="13" spans="2:10" ht="15.75" thickBot="1" x14ac:dyDescent="0.3">
      <c r="B13" s="11" t="s">
        <v>23</v>
      </c>
      <c r="C13" s="12">
        <v>5705</v>
      </c>
      <c r="D13" s="12">
        <v>3017</v>
      </c>
      <c r="E13" s="12">
        <v>3724</v>
      </c>
      <c r="F13" s="12">
        <v>4632</v>
      </c>
      <c r="G13" s="12">
        <f t="shared" si="0"/>
        <v>17078</v>
      </c>
      <c r="H13" s="12">
        <f t="shared" si="1"/>
        <v>4269.5</v>
      </c>
      <c r="I13" s="12">
        <f t="shared" si="2"/>
        <v>3017</v>
      </c>
      <c r="J13" s="12">
        <f t="shared" si="3"/>
        <v>5705</v>
      </c>
    </row>
    <row r="14" spans="2:10" ht="15.75" thickBot="1" x14ac:dyDescent="0.3">
      <c r="B14" s="11" t="s">
        <v>24</v>
      </c>
      <c r="C14" s="12">
        <v>3958</v>
      </c>
      <c r="D14" s="12">
        <v>4697</v>
      </c>
      <c r="E14" s="12">
        <v>5944</v>
      </c>
      <c r="F14" s="12">
        <v>3272</v>
      </c>
      <c r="G14" s="12">
        <f t="shared" si="0"/>
        <v>17871</v>
      </c>
      <c r="H14" s="12">
        <f t="shared" si="1"/>
        <v>4467.75</v>
      </c>
      <c r="I14" s="12">
        <f t="shared" si="2"/>
        <v>3272</v>
      </c>
      <c r="J14" s="12">
        <f t="shared" si="3"/>
        <v>5944</v>
      </c>
    </row>
    <row r="15" spans="2:10" ht="15.75" thickBot="1" x14ac:dyDescent="0.3">
      <c r="B15" s="33" t="s">
        <v>25</v>
      </c>
      <c r="C15" s="12">
        <f>SUM(C3:C14)</f>
        <v>56449</v>
      </c>
      <c r="D15" s="12">
        <f t="shared" ref="D15:F15" si="4">SUM(D3:D14)</f>
        <v>50370</v>
      </c>
      <c r="E15" s="12">
        <f t="shared" si="4"/>
        <v>54510</v>
      </c>
      <c r="F15" s="12">
        <f t="shared" si="4"/>
        <v>52900</v>
      </c>
      <c r="G15" s="12">
        <f t="shared" si="0"/>
        <v>214229</v>
      </c>
      <c r="H15" s="12"/>
      <c r="I15" s="12"/>
      <c r="J15" s="12"/>
    </row>
    <row r="18" spans="4:4" x14ac:dyDescent="0.25">
      <c r="D18" s="31"/>
    </row>
  </sheetData>
  <pageMargins left="0.7" right="0.7" top="0.75" bottom="0.75" header="0.3" footer="0.3"/>
  <pageSetup paperSize="9" orientation="portrait" horizontalDpi="4294967293" verticalDpi="0" r:id="rId1"/>
  <ignoredErrors>
    <ignoredError sqref="C15:F15" formulaRange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4A9C4-848F-43D7-BF81-99289F504373}">
  <dimension ref="A3:E203"/>
  <sheetViews>
    <sheetView zoomScale="120" zoomScaleNormal="120" workbookViewId="0">
      <selection activeCell="F14" sqref="F14"/>
    </sheetView>
  </sheetViews>
  <sheetFormatPr defaultRowHeight="15" x14ac:dyDescent="0.25"/>
  <cols>
    <col min="1" max="1" width="12.28515625" customWidth="1"/>
    <col min="2" max="2" width="11.7109375" customWidth="1"/>
    <col min="3" max="4" width="10.7109375" customWidth="1"/>
    <col min="5" max="5" width="15.28515625" bestFit="1" customWidth="1"/>
  </cols>
  <sheetData>
    <row r="3" spans="1:5" x14ac:dyDescent="0.25">
      <c r="A3" s="30" t="s">
        <v>120</v>
      </c>
      <c r="B3" s="30" t="s">
        <v>121</v>
      </c>
      <c r="C3" s="30" t="s">
        <v>122</v>
      </c>
      <c r="D3" s="30" t="s">
        <v>123</v>
      </c>
      <c r="E3" s="30" t="s">
        <v>124</v>
      </c>
    </row>
    <row r="4" spans="1:5" x14ac:dyDescent="0.25">
      <c r="A4">
        <v>1</v>
      </c>
      <c r="B4" s="31">
        <v>45688</v>
      </c>
      <c r="C4" t="s">
        <v>13</v>
      </c>
      <c r="D4" t="s">
        <v>127</v>
      </c>
    </row>
    <row r="5" spans="1:5" x14ac:dyDescent="0.25">
      <c r="A5">
        <v>2</v>
      </c>
      <c r="B5" s="31">
        <v>45716</v>
      </c>
      <c r="C5" t="s">
        <v>14</v>
      </c>
      <c r="D5" t="s">
        <v>128</v>
      </c>
    </row>
    <row r="6" spans="1:5" x14ac:dyDescent="0.25">
      <c r="A6">
        <v>3</v>
      </c>
      <c r="B6" s="31">
        <v>45747</v>
      </c>
      <c r="C6" t="s">
        <v>15</v>
      </c>
      <c r="D6" t="s">
        <v>129</v>
      </c>
    </row>
    <row r="7" spans="1:5" x14ac:dyDescent="0.25">
      <c r="A7">
        <v>4</v>
      </c>
      <c r="B7" s="31">
        <v>45777</v>
      </c>
      <c r="C7" t="s">
        <v>16</v>
      </c>
      <c r="D7" t="s">
        <v>130</v>
      </c>
    </row>
    <row r="8" spans="1:5" x14ac:dyDescent="0.25">
      <c r="A8">
        <v>5</v>
      </c>
      <c r="B8" s="31">
        <v>45808</v>
      </c>
      <c r="C8" t="s">
        <v>17</v>
      </c>
      <c r="D8" t="s">
        <v>131</v>
      </c>
    </row>
    <row r="9" spans="1:5" x14ac:dyDescent="0.25">
      <c r="A9">
        <v>6</v>
      </c>
      <c r="B9" s="31">
        <v>45838</v>
      </c>
      <c r="C9" t="s">
        <v>18</v>
      </c>
      <c r="D9" t="s">
        <v>132</v>
      </c>
    </row>
    <row r="10" spans="1:5" x14ac:dyDescent="0.25">
      <c r="A10">
        <v>7</v>
      </c>
      <c r="B10" s="31">
        <v>45869</v>
      </c>
      <c r="C10" t="s">
        <v>19</v>
      </c>
      <c r="D10" t="s">
        <v>133</v>
      </c>
    </row>
    <row r="11" spans="1:5" x14ac:dyDescent="0.25">
      <c r="A11">
        <v>8</v>
      </c>
      <c r="B11" s="31">
        <v>45900</v>
      </c>
      <c r="C11" t="s">
        <v>20</v>
      </c>
    </row>
    <row r="12" spans="1:5" x14ac:dyDescent="0.25">
      <c r="A12">
        <v>9</v>
      </c>
      <c r="B12" s="31">
        <v>45930</v>
      </c>
      <c r="C12" t="s">
        <v>21</v>
      </c>
    </row>
    <row r="13" spans="1:5" x14ac:dyDescent="0.25">
      <c r="A13">
        <v>10</v>
      </c>
      <c r="B13" s="31">
        <v>45961</v>
      </c>
      <c r="C13" t="s">
        <v>22</v>
      </c>
    </row>
    <row r="14" spans="1:5" x14ac:dyDescent="0.25">
      <c r="A14">
        <v>11</v>
      </c>
      <c r="B14" s="31"/>
      <c r="C14" t="s">
        <v>23</v>
      </c>
    </row>
    <row r="15" spans="1:5" x14ac:dyDescent="0.25">
      <c r="A15">
        <v>12</v>
      </c>
      <c r="B15" s="31"/>
      <c r="C15" t="s">
        <v>24</v>
      </c>
    </row>
    <row r="16" spans="1:5" x14ac:dyDescent="0.25">
      <c r="A16">
        <v>13</v>
      </c>
      <c r="B16" s="31"/>
    </row>
    <row r="17" spans="1:2" x14ac:dyDescent="0.25">
      <c r="A17">
        <v>14</v>
      </c>
      <c r="B17" s="31"/>
    </row>
    <row r="18" spans="1:2" x14ac:dyDescent="0.25">
      <c r="A18">
        <v>15</v>
      </c>
      <c r="B18" s="31"/>
    </row>
    <row r="19" spans="1:2" x14ac:dyDescent="0.25">
      <c r="A19">
        <v>16</v>
      </c>
      <c r="B19" s="31"/>
    </row>
    <row r="20" spans="1:2" x14ac:dyDescent="0.25">
      <c r="A20">
        <v>17</v>
      </c>
      <c r="B20" s="31"/>
    </row>
    <row r="21" spans="1:2" x14ac:dyDescent="0.25">
      <c r="A21">
        <v>18</v>
      </c>
      <c r="B21" s="31"/>
    </row>
    <row r="22" spans="1:2" x14ac:dyDescent="0.25">
      <c r="A22">
        <v>19</v>
      </c>
      <c r="B22" s="31"/>
    </row>
    <row r="23" spans="1:2" x14ac:dyDescent="0.25">
      <c r="A23">
        <v>20</v>
      </c>
      <c r="B23" s="31"/>
    </row>
    <row r="24" spans="1:2" x14ac:dyDescent="0.25">
      <c r="A24">
        <v>21</v>
      </c>
    </row>
    <row r="25" spans="1:2" x14ac:dyDescent="0.25">
      <c r="A25">
        <v>22</v>
      </c>
    </row>
    <row r="26" spans="1:2" x14ac:dyDescent="0.25">
      <c r="A26">
        <v>23</v>
      </c>
    </row>
    <row r="27" spans="1:2" x14ac:dyDescent="0.25">
      <c r="A27">
        <v>24</v>
      </c>
    </row>
    <row r="28" spans="1:2" x14ac:dyDescent="0.25">
      <c r="A28">
        <v>25</v>
      </c>
    </row>
    <row r="29" spans="1:2" x14ac:dyDescent="0.25">
      <c r="A29">
        <v>26</v>
      </c>
    </row>
    <row r="30" spans="1:2" x14ac:dyDescent="0.25">
      <c r="A30">
        <v>27</v>
      </c>
    </row>
    <row r="31" spans="1:2" x14ac:dyDescent="0.25">
      <c r="A31">
        <v>28</v>
      </c>
    </row>
    <row r="32" spans="1:2" x14ac:dyDescent="0.25">
      <c r="A32">
        <v>29</v>
      </c>
    </row>
    <row r="33" spans="1:1" x14ac:dyDescent="0.25">
      <c r="A33">
        <v>30</v>
      </c>
    </row>
    <row r="34" spans="1:1" x14ac:dyDescent="0.25">
      <c r="A34">
        <v>31</v>
      </c>
    </row>
    <row r="35" spans="1:1" x14ac:dyDescent="0.25">
      <c r="A35">
        <v>32</v>
      </c>
    </row>
    <row r="36" spans="1:1" x14ac:dyDescent="0.25">
      <c r="A36">
        <v>33</v>
      </c>
    </row>
    <row r="37" spans="1:1" x14ac:dyDescent="0.25">
      <c r="A37">
        <v>34</v>
      </c>
    </row>
    <row r="38" spans="1:1" x14ac:dyDescent="0.25">
      <c r="A38">
        <v>35</v>
      </c>
    </row>
    <row r="39" spans="1:1" x14ac:dyDescent="0.25">
      <c r="A39">
        <v>36</v>
      </c>
    </row>
    <row r="40" spans="1:1" x14ac:dyDescent="0.25">
      <c r="A40">
        <v>37</v>
      </c>
    </row>
    <row r="41" spans="1:1" x14ac:dyDescent="0.25">
      <c r="A41">
        <v>38</v>
      </c>
    </row>
    <row r="42" spans="1:1" x14ac:dyDescent="0.25">
      <c r="A42">
        <v>39</v>
      </c>
    </row>
    <row r="43" spans="1:1" x14ac:dyDescent="0.25">
      <c r="A43">
        <v>40</v>
      </c>
    </row>
    <row r="44" spans="1:1" x14ac:dyDescent="0.25">
      <c r="A44">
        <v>41</v>
      </c>
    </row>
    <row r="45" spans="1:1" x14ac:dyDescent="0.25">
      <c r="A45">
        <v>42</v>
      </c>
    </row>
    <row r="46" spans="1:1" x14ac:dyDescent="0.25">
      <c r="A46">
        <v>43</v>
      </c>
    </row>
    <row r="47" spans="1:1" x14ac:dyDescent="0.25">
      <c r="A47">
        <v>44</v>
      </c>
    </row>
    <row r="48" spans="1:1" x14ac:dyDescent="0.25">
      <c r="A48">
        <v>45</v>
      </c>
    </row>
    <row r="49" spans="1:1" x14ac:dyDescent="0.25">
      <c r="A49">
        <v>46</v>
      </c>
    </row>
    <row r="50" spans="1:1" x14ac:dyDescent="0.25">
      <c r="A50">
        <v>47</v>
      </c>
    </row>
    <row r="51" spans="1:1" x14ac:dyDescent="0.25">
      <c r="A51">
        <v>48</v>
      </c>
    </row>
    <row r="52" spans="1:1" x14ac:dyDescent="0.25">
      <c r="A52">
        <v>49</v>
      </c>
    </row>
    <row r="53" spans="1:1" x14ac:dyDescent="0.25">
      <c r="A53">
        <v>50</v>
      </c>
    </row>
    <row r="54" spans="1:1" x14ac:dyDescent="0.25">
      <c r="A54">
        <v>51</v>
      </c>
    </row>
    <row r="55" spans="1:1" x14ac:dyDescent="0.25">
      <c r="A55">
        <v>52</v>
      </c>
    </row>
    <row r="56" spans="1:1" x14ac:dyDescent="0.25">
      <c r="A56">
        <v>53</v>
      </c>
    </row>
    <row r="57" spans="1:1" x14ac:dyDescent="0.25">
      <c r="A57">
        <v>54</v>
      </c>
    </row>
    <row r="58" spans="1:1" x14ac:dyDescent="0.25">
      <c r="A58">
        <v>55</v>
      </c>
    </row>
    <row r="59" spans="1:1" x14ac:dyDescent="0.25">
      <c r="A59">
        <v>56</v>
      </c>
    </row>
    <row r="60" spans="1:1" x14ac:dyDescent="0.25">
      <c r="A60">
        <v>57</v>
      </c>
    </row>
    <row r="61" spans="1:1" x14ac:dyDescent="0.25">
      <c r="A61">
        <v>58</v>
      </c>
    </row>
    <row r="62" spans="1:1" x14ac:dyDescent="0.25">
      <c r="A62">
        <v>59</v>
      </c>
    </row>
    <row r="63" spans="1:1" x14ac:dyDescent="0.25">
      <c r="A63">
        <v>60</v>
      </c>
    </row>
    <row r="64" spans="1:1" x14ac:dyDescent="0.25">
      <c r="A64">
        <v>61</v>
      </c>
    </row>
    <row r="65" spans="1:1" x14ac:dyDescent="0.25">
      <c r="A65">
        <v>62</v>
      </c>
    </row>
    <row r="66" spans="1:1" x14ac:dyDescent="0.25">
      <c r="A66">
        <v>63</v>
      </c>
    </row>
    <row r="67" spans="1:1" x14ac:dyDescent="0.25">
      <c r="A67">
        <v>64</v>
      </c>
    </row>
    <row r="68" spans="1:1" x14ac:dyDescent="0.25">
      <c r="A68">
        <v>65</v>
      </c>
    </row>
    <row r="69" spans="1:1" x14ac:dyDescent="0.25">
      <c r="A69">
        <v>66</v>
      </c>
    </row>
    <row r="70" spans="1:1" x14ac:dyDescent="0.25">
      <c r="A70">
        <v>67</v>
      </c>
    </row>
    <row r="71" spans="1:1" x14ac:dyDescent="0.25">
      <c r="A71">
        <v>68</v>
      </c>
    </row>
    <row r="72" spans="1:1" x14ac:dyDescent="0.25">
      <c r="A72">
        <v>69</v>
      </c>
    </row>
    <row r="73" spans="1:1" x14ac:dyDescent="0.25">
      <c r="A73">
        <v>70</v>
      </c>
    </row>
    <row r="74" spans="1:1" x14ac:dyDescent="0.25">
      <c r="A74">
        <v>71</v>
      </c>
    </row>
    <row r="75" spans="1:1" x14ac:dyDescent="0.25">
      <c r="A75">
        <v>72</v>
      </c>
    </row>
    <row r="76" spans="1:1" x14ac:dyDescent="0.25">
      <c r="A76">
        <v>73</v>
      </c>
    </row>
    <row r="77" spans="1:1" x14ac:dyDescent="0.25">
      <c r="A77">
        <v>74</v>
      </c>
    </row>
    <row r="78" spans="1:1" x14ac:dyDescent="0.25">
      <c r="A78">
        <v>75</v>
      </c>
    </row>
    <row r="79" spans="1:1" x14ac:dyDescent="0.25">
      <c r="A79">
        <v>76</v>
      </c>
    </row>
    <row r="80" spans="1:1" x14ac:dyDescent="0.25">
      <c r="A80">
        <v>77</v>
      </c>
    </row>
    <row r="81" spans="1:1" x14ac:dyDescent="0.25">
      <c r="A81">
        <v>78</v>
      </c>
    </row>
    <row r="82" spans="1:1" x14ac:dyDescent="0.25">
      <c r="A82">
        <v>79</v>
      </c>
    </row>
    <row r="83" spans="1:1" x14ac:dyDescent="0.25">
      <c r="A83">
        <v>80</v>
      </c>
    </row>
    <row r="84" spans="1:1" x14ac:dyDescent="0.25">
      <c r="A84">
        <v>81</v>
      </c>
    </row>
    <row r="85" spans="1:1" x14ac:dyDescent="0.25">
      <c r="A85">
        <v>82</v>
      </c>
    </row>
    <row r="86" spans="1:1" x14ac:dyDescent="0.25">
      <c r="A86">
        <v>83</v>
      </c>
    </row>
    <row r="87" spans="1:1" x14ac:dyDescent="0.25">
      <c r="A87">
        <v>84</v>
      </c>
    </row>
    <row r="88" spans="1:1" x14ac:dyDescent="0.25">
      <c r="A88">
        <v>85</v>
      </c>
    </row>
    <row r="89" spans="1:1" x14ac:dyDescent="0.25">
      <c r="A89">
        <v>86</v>
      </c>
    </row>
    <row r="90" spans="1:1" x14ac:dyDescent="0.25">
      <c r="A90">
        <v>87</v>
      </c>
    </row>
    <row r="91" spans="1:1" x14ac:dyDescent="0.25">
      <c r="A91">
        <v>88</v>
      </c>
    </row>
    <row r="92" spans="1:1" x14ac:dyDescent="0.25">
      <c r="A92">
        <v>89</v>
      </c>
    </row>
    <row r="93" spans="1:1" x14ac:dyDescent="0.25">
      <c r="A93">
        <v>90</v>
      </c>
    </row>
    <row r="94" spans="1:1" x14ac:dyDescent="0.25">
      <c r="A94">
        <v>91</v>
      </c>
    </row>
    <row r="95" spans="1:1" x14ac:dyDescent="0.25">
      <c r="A95">
        <v>92</v>
      </c>
    </row>
    <row r="96" spans="1:1" x14ac:dyDescent="0.25">
      <c r="A96">
        <v>93</v>
      </c>
    </row>
    <row r="97" spans="1:1" x14ac:dyDescent="0.25">
      <c r="A97">
        <v>94</v>
      </c>
    </row>
    <row r="98" spans="1:1" x14ac:dyDescent="0.25">
      <c r="A98">
        <v>95</v>
      </c>
    </row>
    <row r="99" spans="1:1" x14ac:dyDescent="0.25">
      <c r="A99">
        <v>96</v>
      </c>
    </row>
    <row r="100" spans="1:1" x14ac:dyDescent="0.25">
      <c r="A100">
        <v>97</v>
      </c>
    </row>
    <row r="101" spans="1:1" x14ac:dyDescent="0.25">
      <c r="A101">
        <v>98</v>
      </c>
    </row>
    <row r="102" spans="1:1" x14ac:dyDescent="0.25">
      <c r="A102">
        <v>99</v>
      </c>
    </row>
    <row r="103" spans="1:1" x14ac:dyDescent="0.25">
      <c r="A103">
        <v>100</v>
      </c>
    </row>
    <row r="104" spans="1:1" x14ac:dyDescent="0.25">
      <c r="A104">
        <v>101</v>
      </c>
    </row>
    <row r="105" spans="1:1" x14ac:dyDescent="0.25">
      <c r="A105">
        <v>102</v>
      </c>
    </row>
    <row r="106" spans="1:1" x14ac:dyDescent="0.25">
      <c r="A106">
        <v>103</v>
      </c>
    </row>
    <row r="107" spans="1:1" x14ac:dyDescent="0.25">
      <c r="A107">
        <v>104</v>
      </c>
    </row>
    <row r="108" spans="1:1" x14ac:dyDescent="0.25">
      <c r="A108">
        <v>105</v>
      </c>
    </row>
    <row r="109" spans="1:1" x14ac:dyDescent="0.25">
      <c r="A109">
        <v>106</v>
      </c>
    </row>
    <row r="110" spans="1:1" x14ac:dyDescent="0.25">
      <c r="A110">
        <v>107</v>
      </c>
    </row>
    <row r="111" spans="1:1" x14ac:dyDescent="0.25">
      <c r="A111">
        <v>108</v>
      </c>
    </row>
    <row r="112" spans="1:1" x14ac:dyDescent="0.25">
      <c r="A112">
        <v>109</v>
      </c>
    </row>
    <row r="113" spans="1:1" x14ac:dyDescent="0.25">
      <c r="A113">
        <v>110</v>
      </c>
    </row>
    <row r="114" spans="1:1" x14ac:dyDescent="0.25">
      <c r="A114">
        <v>111</v>
      </c>
    </row>
    <row r="115" spans="1:1" x14ac:dyDescent="0.25">
      <c r="A115">
        <v>112</v>
      </c>
    </row>
    <row r="116" spans="1:1" x14ac:dyDescent="0.25">
      <c r="A116">
        <v>113</v>
      </c>
    </row>
    <row r="117" spans="1:1" x14ac:dyDescent="0.25">
      <c r="A117">
        <v>114</v>
      </c>
    </row>
    <row r="118" spans="1:1" x14ac:dyDescent="0.25">
      <c r="A118">
        <v>115</v>
      </c>
    </row>
    <row r="119" spans="1:1" x14ac:dyDescent="0.25">
      <c r="A119">
        <v>116</v>
      </c>
    </row>
    <row r="120" spans="1:1" x14ac:dyDescent="0.25">
      <c r="A120">
        <v>117</v>
      </c>
    </row>
    <row r="121" spans="1:1" x14ac:dyDescent="0.25">
      <c r="A121">
        <v>118</v>
      </c>
    </row>
    <row r="122" spans="1:1" x14ac:dyDescent="0.25">
      <c r="A122">
        <v>119</v>
      </c>
    </row>
    <row r="123" spans="1:1" x14ac:dyDescent="0.25">
      <c r="A123">
        <v>120</v>
      </c>
    </row>
    <row r="124" spans="1:1" x14ac:dyDescent="0.25">
      <c r="A124">
        <v>121</v>
      </c>
    </row>
    <row r="125" spans="1:1" x14ac:dyDescent="0.25">
      <c r="A125">
        <v>122</v>
      </c>
    </row>
    <row r="126" spans="1:1" x14ac:dyDescent="0.25">
      <c r="A126">
        <v>123</v>
      </c>
    </row>
    <row r="127" spans="1:1" x14ac:dyDescent="0.25">
      <c r="A127">
        <v>124</v>
      </c>
    </row>
    <row r="128" spans="1:1" x14ac:dyDescent="0.25">
      <c r="A128">
        <v>125</v>
      </c>
    </row>
    <row r="129" spans="1:1" x14ac:dyDescent="0.25">
      <c r="A129">
        <v>126</v>
      </c>
    </row>
    <row r="130" spans="1:1" x14ac:dyDescent="0.25">
      <c r="A130">
        <v>127</v>
      </c>
    </row>
    <row r="131" spans="1:1" x14ac:dyDescent="0.25">
      <c r="A131">
        <v>128</v>
      </c>
    </row>
    <row r="132" spans="1:1" x14ac:dyDescent="0.25">
      <c r="A132">
        <v>129</v>
      </c>
    </row>
    <row r="133" spans="1:1" x14ac:dyDescent="0.25">
      <c r="A133">
        <v>130</v>
      </c>
    </row>
    <row r="134" spans="1:1" x14ac:dyDescent="0.25">
      <c r="A134">
        <v>131</v>
      </c>
    </row>
    <row r="135" spans="1:1" x14ac:dyDescent="0.25">
      <c r="A135">
        <v>132</v>
      </c>
    </row>
    <row r="136" spans="1:1" x14ac:dyDescent="0.25">
      <c r="A136">
        <v>133</v>
      </c>
    </row>
    <row r="137" spans="1:1" x14ac:dyDescent="0.25">
      <c r="A137">
        <v>134</v>
      </c>
    </row>
    <row r="138" spans="1:1" x14ac:dyDescent="0.25">
      <c r="A138">
        <v>135</v>
      </c>
    </row>
    <row r="139" spans="1:1" x14ac:dyDescent="0.25">
      <c r="A139">
        <v>136</v>
      </c>
    </row>
    <row r="140" spans="1:1" x14ac:dyDescent="0.25">
      <c r="A140">
        <v>137</v>
      </c>
    </row>
    <row r="141" spans="1:1" x14ac:dyDescent="0.25">
      <c r="A141">
        <v>138</v>
      </c>
    </row>
    <row r="142" spans="1:1" x14ac:dyDescent="0.25">
      <c r="A142">
        <v>139</v>
      </c>
    </row>
    <row r="143" spans="1:1" x14ac:dyDescent="0.25">
      <c r="A143">
        <v>140</v>
      </c>
    </row>
    <row r="144" spans="1:1" x14ac:dyDescent="0.25">
      <c r="A144">
        <v>141</v>
      </c>
    </row>
    <row r="145" spans="1:1" x14ac:dyDescent="0.25">
      <c r="A145">
        <v>142</v>
      </c>
    </row>
    <row r="146" spans="1:1" x14ac:dyDescent="0.25">
      <c r="A146">
        <v>143</v>
      </c>
    </row>
    <row r="147" spans="1:1" x14ac:dyDescent="0.25">
      <c r="A147">
        <v>144</v>
      </c>
    </row>
    <row r="148" spans="1:1" x14ac:dyDescent="0.25">
      <c r="A148">
        <v>145</v>
      </c>
    </row>
    <row r="149" spans="1:1" x14ac:dyDescent="0.25">
      <c r="A149">
        <v>146</v>
      </c>
    </row>
    <row r="150" spans="1:1" x14ac:dyDescent="0.25">
      <c r="A150">
        <v>147</v>
      </c>
    </row>
    <row r="151" spans="1:1" x14ac:dyDescent="0.25">
      <c r="A151">
        <v>148</v>
      </c>
    </row>
    <row r="152" spans="1:1" x14ac:dyDescent="0.25">
      <c r="A152">
        <v>149</v>
      </c>
    </row>
    <row r="153" spans="1:1" x14ac:dyDescent="0.25">
      <c r="A153">
        <v>150</v>
      </c>
    </row>
    <row r="154" spans="1:1" x14ac:dyDescent="0.25">
      <c r="A154">
        <v>151</v>
      </c>
    </row>
    <row r="155" spans="1:1" x14ac:dyDescent="0.25">
      <c r="A155">
        <v>152</v>
      </c>
    </row>
    <row r="156" spans="1:1" x14ac:dyDescent="0.25">
      <c r="A156">
        <v>153</v>
      </c>
    </row>
    <row r="157" spans="1:1" x14ac:dyDescent="0.25">
      <c r="A157">
        <v>154</v>
      </c>
    </row>
    <row r="158" spans="1:1" x14ac:dyDescent="0.25">
      <c r="A158">
        <v>155</v>
      </c>
    </row>
    <row r="159" spans="1:1" x14ac:dyDescent="0.25">
      <c r="A159">
        <v>156</v>
      </c>
    </row>
    <row r="160" spans="1:1" x14ac:dyDescent="0.25">
      <c r="A160">
        <v>157</v>
      </c>
    </row>
    <row r="161" spans="1:1" x14ac:dyDescent="0.25">
      <c r="A161">
        <v>158</v>
      </c>
    </row>
    <row r="162" spans="1:1" x14ac:dyDescent="0.25">
      <c r="A162">
        <v>159</v>
      </c>
    </row>
    <row r="163" spans="1:1" x14ac:dyDescent="0.25">
      <c r="A163">
        <v>160</v>
      </c>
    </row>
    <row r="164" spans="1:1" x14ac:dyDescent="0.25">
      <c r="A164">
        <v>161</v>
      </c>
    </row>
    <row r="165" spans="1:1" x14ac:dyDescent="0.25">
      <c r="A165">
        <v>162</v>
      </c>
    </row>
    <row r="166" spans="1:1" x14ac:dyDescent="0.25">
      <c r="A166">
        <v>163</v>
      </c>
    </row>
    <row r="167" spans="1:1" x14ac:dyDescent="0.25">
      <c r="A167">
        <v>164</v>
      </c>
    </row>
    <row r="168" spans="1:1" x14ac:dyDescent="0.25">
      <c r="A168">
        <v>165</v>
      </c>
    </row>
    <row r="169" spans="1:1" x14ac:dyDescent="0.25">
      <c r="A169">
        <v>166</v>
      </c>
    </row>
    <row r="170" spans="1:1" x14ac:dyDescent="0.25">
      <c r="A170">
        <v>167</v>
      </c>
    </row>
    <row r="171" spans="1:1" x14ac:dyDescent="0.25">
      <c r="A171">
        <v>168</v>
      </c>
    </row>
    <row r="172" spans="1:1" x14ac:dyDescent="0.25">
      <c r="A172">
        <v>169</v>
      </c>
    </row>
    <row r="173" spans="1:1" x14ac:dyDescent="0.25">
      <c r="A173">
        <v>170</v>
      </c>
    </row>
    <row r="174" spans="1:1" x14ac:dyDescent="0.25">
      <c r="A174">
        <v>171</v>
      </c>
    </row>
    <row r="175" spans="1:1" x14ac:dyDescent="0.25">
      <c r="A175">
        <v>172</v>
      </c>
    </row>
    <row r="176" spans="1:1" x14ac:dyDescent="0.25">
      <c r="A176">
        <v>173</v>
      </c>
    </row>
    <row r="177" spans="1:1" x14ac:dyDescent="0.25">
      <c r="A177">
        <v>174</v>
      </c>
    </row>
    <row r="178" spans="1:1" x14ac:dyDescent="0.25">
      <c r="A178">
        <v>175</v>
      </c>
    </row>
    <row r="179" spans="1:1" x14ac:dyDescent="0.25">
      <c r="A179">
        <v>176</v>
      </c>
    </row>
    <row r="180" spans="1:1" x14ac:dyDescent="0.25">
      <c r="A180">
        <v>177</v>
      </c>
    </row>
    <row r="181" spans="1:1" x14ac:dyDescent="0.25">
      <c r="A181">
        <v>178</v>
      </c>
    </row>
    <row r="182" spans="1:1" x14ac:dyDescent="0.25">
      <c r="A182">
        <v>179</v>
      </c>
    </row>
    <row r="183" spans="1:1" x14ac:dyDescent="0.25">
      <c r="A183">
        <v>180</v>
      </c>
    </row>
    <row r="184" spans="1:1" x14ac:dyDescent="0.25">
      <c r="A184">
        <v>181</v>
      </c>
    </row>
    <row r="185" spans="1:1" x14ac:dyDescent="0.25">
      <c r="A185">
        <v>182</v>
      </c>
    </row>
    <row r="186" spans="1:1" x14ac:dyDescent="0.25">
      <c r="A186">
        <v>183</v>
      </c>
    </row>
    <row r="187" spans="1:1" x14ac:dyDescent="0.25">
      <c r="A187">
        <v>184</v>
      </c>
    </row>
    <row r="188" spans="1:1" x14ac:dyDescent="0.25">
      <c r="A188">
        <v>185</v>
      </c>
    </row>
    <row r="189" spans="1:1" x14ac:dyDescent="0.25">
      <c r="A189">
        <v>186</v>
      </c>
    </row>
    <row r="190" spans="1:1" x14ac:dyDescent="0.25">
      <c r="A190">
        <v>187</v>
      </c>
    </row>
    <row r="191" spans="1:1" x14ac:dyDescent="0.25">
      <c r="A191">
        <v>188</v>
      </c>
    </row>
    <row r="192" spans="1:1" x14ac:dyDescent="0.25">
      <c r="A192">
        <v>189</v>
      </c>
    </row>
    <row r="193" spans="1:1" x14ac:dyDescent="0.25">
      <c r="A193">
        <v>190</v>
      </c>
    </row>
    <row r="194" spans="1:1" x14ac:dyDescent="0.25">
      <c r="A194">
        <v>191</v>
      </c>
    </row>
    <row r="195" spans="1:1" x14ac:dyDescent="0.25">
      <c r="A195">
        <v>192</v>
      </c>
    </row>
    <row r="196" spans="1:1" x14ac:dyDescent="0.25">
      <c r="A196">
        <v>193</v>
      </c>
    </row>
    <row r="197" spans="1:1" x14ac:dyDescent="0.25">
      <c r="A197">
        <v>194</v>
      </c>
    </row>
    <row r="198" spans="1:1" x14ac:dyDescent="0.25">
      <c r="A198">
        <v>195</v>
      </c>
    </row>
    <row r="199" spans="1:1" x14ac:dyDescent="0.25">
      <c r="A199">
        <v>196</v>
      </c>
    </row>
    <row r="200" spans="1:1" x14ac:dyDescent="0.25">
      <c r="A200">
        <v>197</v>
      </c>
    </row>
    <row r="201" spans="1:1" x14ac:dyDescent="0.25">
      <c r="A201">
        <v>198</v>
      </c>
    </row>
    <row r="202" spans="1:1" x14ac:dyDescent="0.25">
      <c r="A202">
        <v>199</v>
      </c>
    </row>
    <row r="203" spans="1:1" x14ac:dyDescent="0.25">
      <c r="A203">
        <v>200</v>
      </c>
    </row>
  </sheetData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C3100-746F-4444-8436-904AF4920B36}">
  <dimension ref="A1:L17"/>
  <sheetViews>
    <sheetView tabSelected="1" topLeftCell="C1" workbookViewId="0">
      <selection activeCell="N4" sqref="N4"/>
    </sheetView>
  </sheetViews>
  <sheetFormatPr defaultRowHeight="14.25" x14ac:dyDescent="0.2"/>
  <cols>
    <col min="1" max="1" width="26" style="36" customWidth="1"/>
    <col min="2" max="2" width="17.5703125" style="36" customWidth="1"/>
    <col min="3" max="3" width="18.28515625" style="36" customWidth="1"/>
    <col min="4" max="4" width="24" style="36" bestFit="1" customWidth="1"/>
    <col min="5" max="5" width="9.140625" style="36"/>
    <col min="6" max="6" width="16.85546875" style="36" customWidth="1"/>
    <col min="7" max="7" width="17.7109375" style="36" customWidth="1"/>
    <col min="8" max="8" width="16.28515625" style="36" bestFit="1" customWidth="1"/>
    <col min="9" max="9" width="21.42578125" style="36" customWidth="1"/>
    <col min="10" max="10" width="11.140625" style="36" customWidth="1"/>
    <col min="11" max="11" width="9.140625" style="36"/>
    <col min="12" max="12" width="14.28515625" style="36" customWidth="1"/>
    <col min="13" max="16384" width="9.140625" style="36"/>
  </cols>
  <sheetData>
    <row r="1" spans="1:12" s="34" customFormat="1" ht="19.899999999999999" customHeight="1" x14ac:dyDescent="0.25">
      <c r="A1" s="34" t="s">
        <v>134</v>
      </c>
    </row>
    <row r="4" spans="1:12" x14ac:dyDescent="0.2">
      <c r="A4" s="35" t="s">
        <v>135</v>
      </c>
      <c r="B4" s="35" t="s">
        <v>136</v>
      </c>
      <c r="C4" s="35" t="s">
        <v>137</v>
      </c>
      <c r="D4" s="35" t="s">
        <v>138</v>
      </c>
      <c r="F4" s="35" t="s">
        <v>139</v>
      </c>
      <c r="G4" s="35" t="s">
        <v>140</v>
      </c>
      <c r="I4" s="37" t="s">
        <v>141</v>
      </c>
      <c r="J4" s="37" t="s">
        <v>142</v>
      </c>
      <c r="K4" s="37" t="s">
        <v>143</v>
      </c>
      <c r="L4" s="37" t="s">
        <v>144</v>
      </c>
    </row>
    <row r="5" spans="1:12" x14ac:dyDescent="0.2">
      <c r="A5" s="36" t="s">
        <v>48</v>
      </c>
      <c r="B5" s="36" t="s">
        <v>163</v>
      </c>
      <c r="C5" s="36" t="s">
        <v>175</v>
      </c>
      <c r="D5" s="38" t="s">
        <v>185</v>
      </c>
      <c r="F5" s="36" t="s">
        <v>145</v>
      </c>
      <c r="G5" s="36">
        <v>123</v>
      </c>
      <c r="I5" s="36" t="s">
        <v>146</v>
      </c>
      <c r="J5" s="36" t="s">
        <v>198</v>
      </c>
      <c r="K5" s="36" t="s">
        <v>203</v>
      </c>
      <c r="L5" s="36">
        <v>123</v>
      </c>
    </row>
    <row r="6" spans="1:12" x14ac:dyDescent="0.2">
      <c r="A6" s="36" t="s">
        <v>47</v>
      </c>
      <c r="B6" s="36" t="s">
        <v>164</v>
      </c>
      <c r="C6" s="36" t="s">
        <v>176</v>
      </c>
      <c r="D6" s="38" t="s">
        <v>186</v>
      </c>
      <c r="F6" s="36" t="s">
        <v>147</v>
      </c>
      <c r="G6" s="36">
        <v>124</v>
      </c>
      <c r="I6" s="36" t="s">
        <v>148</v>
      </c>
      <c r="J6" s="36" t="s">
        <v>199</v>
      </c>
      <c r="K6" s="36" t="s">
        <v>204</v>
      </c>
      <c r="L6" s="36">
        <v>498</v>
      </c>
    </row>
    <row r="7" spans="1:12" x14ac:dyDescent="0.2">
      <c r="A7" s="36" t="s">
        <v>46</v>
      </c>
      <c r="B7" s="36" t="s">
        <v>165</v>
      </c>
      <c r="C7" s="36" t="s">
        <v>171</v>
      </c>
      <c r="D7" s="38" t="s">
        <v>187</v>
      </c>
      <c r="F7" s="36" t="s">
        <v>149</v>
      </c>
      <c r="G7" s="36">
        <v>125</v>
      </c>
      <c r="I7" s="36" t="s">
        <v>150</v>
      </c>
      <c r="J7" s="36" t="s">
        <v>200</v>
      </c>
      <c r="K7" s="36" t="s">
        <v>205</v>
      </c>
      <c r="L7" s="36">
        <v>289</v>
      </c>
    </row>
    <row r="8" spans="1:12" x14ac:dyDescent="0.2">
      <c r="A8" s="36" t="s">
        <v>45</v>
      </c>
      <c r="B8" s="36" t="s">
        <v>166</v>
      </c>
      <c r="C8" s="36" t="s">
        <v>177</v>
      </c>
      <c r="D8" s="38" t="s">
        <v>188</v>
      </c>
      <c r="F8" s="36" t="s">
        <v>151</v>
      </c>
      <c r="G8" s="36">
        <v>126</v>
      </c>
      <c r="I8" s="36" t="s">
        <v>152</v>
      </c>
      <c r="J8" s="36" t="s">
        <v>201</v>
      </c>
      <c r="K8" s="36" t="s">
        <v>206</v>
      </c>
      <c r="L8" s="36">
        <v>290</v>
      </c>
    </row>
    <row r="9" spans="1:12" x14ac:dyDescent="0.2">
      <c r="A9" s="36" t="s">
        <v>44</v>
      </c>
      <c r="B9" s="36" t="s">
        <v>167</v>
      </c>
      <c r="C9" s="36" t="s">
        <v>178</v>
      </c>
      <c r="D9" s="38" t="s">
        <v>189</v>
      </c>
      <c r="F9" s="36" t="s">
        <v>153</v>
      </c>
      <c r="G9" s="36">
        <v>127</v>
      </c>
      <c r="I9" s="36" t="s">
        <v>154</v>
      </c>
      <c r="J9" s="36" t="s">
        <v>202</v>
      </c>
      <c r="K9" s="36" t="s">
        <v>207</v>
      </c>
      <c r="L9" s="36">
        <v>120</v>
      </c>
    </row>
    <row r="10" spans="1:12" x14ac:dyDescent="0.2">
      <c r="A10" s="36" t="s">
        <v>43</v>
      </c>
      <c r="B10" s="36" t="s">
        <v>168</v>
      </c>
      <c r="C10" s="36" t="s">
        <v>179</v>
      </c>
      <c r="D10" s="38" t="s">
        <v>190</v>
      </c>
      <c r="F10" s="36" t="s">
        <v>155</v>
      </c>
      <c r="G10" s="36">
        <v>128</v>
      </c>
    </row>
    <row r="11" spans="1:12" x14ac:dyDescent="0.2">
      <c r="A11" s="36" t="s">
        <v>42</v>
      </c>
      <c r="B11" s="36" t="s">
        <v>169</v>
      </c>
      <c r="C11" s="36" t="s">
        <v>180</v>
      </c>
      <c r="D11" s="38" t="s">
        <v>191</v>
      </c>
      <c r="F11" s="36" t="s">
        <v>156</v>
      </c>
      <c r="G11" s="36">
        <v>129</v>
      </c>
    </row>
    <row r="12" spans="1:12" x14ac:dyDescent="0.2">
      <c r="A12" s="36" t="s">
        <v>41</v>
      </c>
      <c r="B12" s="36" t="s">
        <v>170</v>
      </c>
      <c r="C12" s="36" t="s">
        <v>181</v>
      </c>
      <c r="D12" s="38" t="s">
        <v>192</v>
      </c>
      <c r="F12" s="36" t="s">
        <v>157</v>
      </c>
      <c r="G12" s="36">
        <v>130</v>
      </c>
    </row>
    <row r="13" spans="1:12" x14ac:dyDescent="0.2">
      <c r="A13" s="36" t="s">
        <v>40</v>
      </c>
      <c r="B13" s="36" t="s">
        <v>167</v>
      </c>
      <c r="C13" s="36" t="s">
        <v>182</v>
      </c>
      <c r="D13" s="38" t="s">
        <v>193</v>
      </c>
      <c r="F13" s="36" t="s">
        <v>158</v>
      </c>
      <c r="G13" s="36">
        <v>131</v>
      </c>
    </row>
    <row r="14" spans="1:12" x14ac:dyDescent="0.2">
      <c r="A14" s="36" t="s">
        <v>39</v>
      </c>
      <c r="B14" s="36" t="s">
        <v>171</v>
      </c>
      <c r="C14" s="36" t="s">
        <v>183</v>
      </c>
      <c r="D14" s="38" t="s">
        <v>194</v>
      </c>
      <c r="F14" s="36" t="s">
        <v>159</v>
      </c>
      <c r="G14" s="36">
        <v>132</v>
      </c>
    </row>
    <row r="15" spans="1:12" x14ac:dyDescent="0.2">
      <c r="A15" s="36" t="s">
        <v>38</v>
      </c>
      <c r="B15" s="36" t="s">
        <v>172</v>
      </c>
      <c r="C15" s="36" t="s">
        <v>169</v>
      </c>
      <c r="D15" s="38" t="s">
        <v>195</v>
      </c>
      <c r="F15" s="36" t="s">
        <v>160</v>
      </c>
      <c r="G15" s="36">
        <v>133</v>
      </c>
    </row>
    <row r="16" spans="1:12" x14ac:dyDescent="0.2">
      <c r="A16" s="36" t="s">
        <v>37</v>
      </c>
      <c r="B16" s="36" t="s">
        <v>173</v>
      </c>
      <c r="C16" s="36" t="s">
        <v>184</v>
      </c>
      <c r="D16" s="38" t="s">
        <v>196</v>
      </c>
      <c r="F16" s="36" t="s">
        <v>161</v>
      </c>
      <c r="G16" s="36">
        <v>134</v>
      </c>
    </row>
    <row r="17" spans="1:7" x14ac:dyDescent="0.2">
      <c r="A17" s="36" t="s">
        <v>36</v>
      </c>
      <c r="B17" s="36" t="s">
        <v>174</v>
      </c>
      <c r="C17" s="36" t="s">
        <v>182</v>
      </c>
      <c r="D17" s="38" t="s">
        <v>197</v>
      </c>
      <c r="F17" s="36" t="s">
        <v>162</v>
      </c>
      <c r="G17" s="36">
        <v>135</v>
      </c>
    </row>
  </sheetData>
  <hyperlinks>
    <hyperlink ref="D5" r:id="rId1" xr:uid="{3E93690E-DE10-42AB-87A6-DB2E5F4010FB}"/>
    <hyperlink ref="D6" r:id="rId2" xr:uid="{1406DAEE-B34B-4A23-980C-8654B0B59745}"/>
    <hyperlink ref="D7" r:id="rId3" xr:uid="{B23263E1-0673-4195-9389-BB7ECEE05D3E}"/>
    <hyperlink ref="D8" r:id="rId4" xr:uid="{0976E313-000F-4C65-A1EE-1761C7CFB4BB}"/>
    <hyperlink ref="D9" r:id="rId5" xr:uid="{04CCE48A-ED6A-4C0B-A4A6-9DC523557473}"/>
    <hyperlink ref="D10" r:id="rId6" xr:uid="{EC0898E3-D268-444C-BC33-61FCF2A8F38E}"/>
    <hyperlink ref="D11" r:id="rId7" xr:uid="{E41D5D6E-22E5-40BF-91B7-FE5C130F5F4C}"/>
    <hyperlink ref="D12" r:id="rId8" xr:uid="{69C4BA2F-2BA1-4F7F-AA3F-4A3B85F342FB}"/>
    <hyperlink ref="D13" r:id="rId9" xr:uid="{E6955797-1503-4389-8D6C-3DA6947D8E94}"/>
    <hyperlink ref="D14" r:id="rId10" xr:uid="{027F3C6E-2307-4A66-A705-7C21A222B62A}"/>
    <hyperlink ref="D15" r:id="rId11" xr:uid="{CBDFF926-D3A5-49A0-BCDD-B34F91B65620}"/>
    <hyperlink ref="D16" r:id="rId12" xr:uid="{4B121FB3-BCC8-4828-9329-592D329BCC46}"/>
    <hyperlink ref="D17" r:id="rId13" xr:uid="{43CABDE0-8186-4DCC-9B1C-387AE0C829CB}"/>
  </hyperlinks>
  <pageMargins left="0.7" right="0.7" top="0.75" bottom="0.75" header="0.3" footer="0.3"/>
  <pageSetup paperSize="9" orientation="portrait" horizontalDpi="4294967293" verticalDpi="0" r:id="rId1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17" ma:contentTypeDescription="Create a new document." ma:contentTypeScope="" ma:versionID="4aa9156728ec40ec10fea053bf01ab89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25bd8e2f098c81b399dd4c6c22e90871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</documentManagement>
</p:properties>
</file>

<file path=customXml/itemProps1.xml><?xml version="1.0" encoding="utf-8"?>
<ds:datastoreItem xmlns:ds="http://schemas.openxmlformats.org/officeDocument/2006/customXml" ds:itemID="{7089D231-82B5-4628-AA93-C13AF9DBDC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e4be8c-5aca-45ec-8e17-deab1f90d7c8"/>
    <ds:schemaRef ds:uri="92b31412-8c8f-44f1-a883-141cef3f34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0A0040-3C6F-4E53-8BD7-3B63490364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9E3DEE-D75C-4FA9-993A-A9DD4FB10125}">
  <ds:schemaRefs>
    <ds:schemaRef ds:uri="http://schemas.microsoft.com/office/2006/metadata/properties"/>
    <ds:schemaRef ds:uri="http://schemas.microsoft.com/office/infopath/2007/PartnerControls"/>
    <ds:schemaRef ds:uri="92b31412-8c8f-44f1-a883-141cef3f34cc"/>
    <ds:schemaRef ds:uri="92e4be8c-5aca-45ec-8e17-deab1f90d7c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INTRO</vt:lpstr>
      <vt:lpstr>OPERATORS</vt:lpstr>
      <vt:lpstr>BODMAS</vt:lpstr>
      <vt:lpstr>SUM Function</vt:lpstr>
      <vt:lpstr>COUNT Function</vt:lpstr>
      <vt:lpstr>Average</vt:lpstr>
      <vt:lpstr>MIN and MAX</vt:lpstr>
      <vt:lpstr>Error Handling</vt:lpstr>
      <vt:lpstr>Absolute vs Relative</vt:lpstr>
      <vt:lpstr>AutoSum_AutoFill 1</vt:lpstr>
      <vt:lpstr>AutoSum_AutoFill 2</vt:lpstr>
      <vt:lpstr>Flash Fill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Said Fawzy</cp:lastModifiedBy>
  <dcterms:created xsi:type="dcterms:W3CDTF">2020-11-05T01:39:48Z</dcterms:created>
  <dcterms:modified xsi:type="dcterms:W3CDTF">2025-09-05T17:18:21Z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</Properties>
</file>