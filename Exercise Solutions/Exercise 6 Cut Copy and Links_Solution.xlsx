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ercise Solutions\"/>
    </mc:Choice>
  </mc:AlternateContent>
  <xr:revisionPtr revIDLastSave="0" documentId="13_ncr:1_{FBED55B5-3680-4E77-94BF-2691A91D91E1}" xr6:coauthVersionLast="47" xr6:coauthVersionMax="47" xr10:uidLastSave="{00000000-0000-0000-0000-000000000000}"/>
  <bookViews>
    <workbookView xWindow="-105" yWindow="0" windowWidth="14610" windowHeight="15585" xr2:uid="{9CC53D70-145A-4525-8A11-75CA9C285F64}"/>
  </bookViews>
  <sheets>
    <sheet name="Cut and Copy" sheetId="1" r:id="rId1"/>
    <sheet name="Paste Options" sheetId="4" r:id="rId2"/>
    <sheet name="Clipboard" sheetId="5" r:id="rId3"/>
    <sheet name="Linking" sheetId="2" r:id="rId4"/>
    <sheet name="Summary" sheetId="3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B14" i="3"/>
  <c r="B13" i="3"/>
  <c r="B7" i="3"/>
  <c r="B6" i="3"/>
  <c r="B12" i="3"/>
  <c r="B5" i="3"/>
  <c r="H8" i="2"/>
  <c r="H7" i="2"/>
  <c r="H6" i="2"/>
  <c r="H5" i="2"/>
  <c r="D6" i="4"/>
  <c r="D7" i="4"/>
  <c r="D8" i="4"/>
  <c r="D9" i="4"/>
  <c r="D10" i="4"/>
  <c r="D11" i="4"/>
  <c r="I23" i="4"/>
  <c r="I22" i="4"/>
  <c r="I21" i="4"/>
  <c r="I20" i="4"/>
  <c r="I19" i="4"/>
  <c r="I18" i="4"/>
  <c r="D23" i="4"/>
  <c r="D22" i="4"/>
  <c r="D21" i="4"/>
  <c r="D20" i="4"/>
  <c r="D19" i="4"/>
  <c r="D18" i="4"/>
  <c r="N11" i="4"/>
  <c r="N10" i="4"/>
  <c r="N9" i="4"/>
  <c r="N8" i="4"/>
  <c r="N7" i="4"/>
  <c r="N6" i="4"/>
  <c r="I11" i="4"/>
  <c r="I10" i="4"/>
  <c r="I9" i="4"/>
  <c r="I8" i="4"/>
  <c r="I7" i="4"/>
  <c r="I6" i="4"/>
  <c r="B11" i="2"/>
  <c r="E11" i="2"/>
  <c r="B21" i="2"/>
  <c r="E21" i="2"/>
  <c r="B8" i="3" s="1"/>
</calcChain>
</file>

<file path=xl/sharedStrings.xml><?xml version="1.0" encoding="utf-8"?>
<sst xmlns="http://schemas.openxmlformats.org/spreadsheetml/2006/main" count="196" uniqueCount="85">
  <si>
    <t>CUT AND COPY</t>
  </si>
  <si>
    <t>Region</t>
  </si>
  <si>
    <t>Country</t>
  </si>
  <si>
    <t>Department</t>
  </si>
  <si>
    <t>Sales Period</t>
  </si>
  <si>
    <t>Europe</t>
  </si>
  <si>
    <t>Germany</t>
  </si>
  <si>
    <t>Home</t>
  </si>
  <si>
    <t>Asia</t>
  </si>
  <si>
    <t>France</t>
  </si>
  <si>
    <t>Accessories</t>
  </si>
  <si>
    <t>North America</t>
  </si>
  <si>
    <t>United Kingdom</t>
  </si>
  <si>
    <t>Clothing</t>
  </si>
  <si>
    <t>South America</t>
  </si>
  <si>
    <t>China</t>
  </si>
  <si>
    <t>Electrical</t>
  </si>
  <si>
    <t>Africa</t>
  </si>
  <si>
    <t>Japan</t>
  </si>
  <si>
    <t>Australasia</t>
  </si>
  <si>
    <t>Singapore</t>
  </si>
  <si>
    <t>USA</t>
  </si>
  <si>
    <t>Canada</t>
  </si>
  <si>
    <t>Mexico</t>
  </si>
  <si>
    <t>Egypt</t>
  </si>
  <si>
    <t>Uganda</t>
  </si>
  <si>
    <t>South Africa</t>
  </si>
  <si>
    <t>Brazil</t>
  </si>
  <si>
    <t>Argentina</t>
  </si>
  <si>
    <t>Ecuador</t>
  </si>
  <si>
    <t>Chile</t>
  </si>
  <si>
    <t>Australia</t>
  </si>
  <si>
    <t>New Zealand</t>
  </si>
  <si>
    <t>Fiji</t>
  </si>
  <si>
    <t>Total</t>
  </si>
  <si>
    <t>A04</t>
  </si>
  <si>
    <t>A03</t>
  </si>
  <si>
    <t>A02</t>
  </si>
  <si>
    <t>A01</t>
  </si>
  <si>
    <t>Revenue</t>
  </si>
  <si>
    <t>Item</t>
  </si>
  <si>
    <t>Frankfurt</t>
  </si>
  <si>
    <t>Paris</t>
  </si>
  <si>
    <t>New York</t>
  </si>
  <si>
    <t>London</t>
  </si>
  <si>
    <t>LINKING TO OTHER WORKSHEETS AND WORKBOOKS</t>
  </si>
  <si>
    <t>SUMMARY</t>
  </si>
  <si>
    <t>City</t>
  </si>
  <si>
    <t>Melbourne</t>
  </si>
  <si>
    <t>Cape Town</t>
  </si>
  <si>
    <t>Hong Kong</t>
  </si>
  <si>
    <t>Bangkok</t>
  </si>
  <si>
    <t>PASTE OPTIONS</t>
  </si>
  <si>
    <t>Original</t>
  </si>
  <si>
    <t>Paste Formulas</t>
  </si>
  <si>
    <t>Paste Formatting</t>
  </si>
  <si>
    <t>Month</t>
  </si>
  <si>
    <t>Sales</t>
  </si>
  <si>
    <t>Tax</t>
  </si>
  <si>
    <t>Jan</t>
  </si>
  <si>
    <t>Feb</t>
  </si>
  <si>
    <t>Mar</t>
  </si>
  <si>
    <t>Apr</t>
  </si>
  <si>
    <t>May</t>
  </si>
  <si>
    <t>Jun</t>
  </si>
  <si>
    <t>Paste Column Widths</t>
  </si>
  <si>
    <t>Paste - No Borders</t>
  </si>
  <si>
    <t>Paste Values</t>
  </si>
  <si>
    <t>Transpose</t>
  </si>
  <si>
    <t>PASTING FROM THE CLIPBOARD</t>
  </si>
  <si>
    <t>Employee Name</t>
  </si>
  <si>
    <t>Harold Weber</t>
  </si>
  <si>
    <t>IT</t>
  </si>
  <si>
    <t>Jake Thomas</t>
  </si>
  <si>
    <t>Raul Holloway</t>
  </si>
  <si>
    <t>Finance</t>
  </si>
  <si>
    <t>Jessie Griffin</t>
  </si>
  <si>
    <t>Isaac Pittman</t>
  </si>
  <si>
    <t>Phillip Bennett</t>
  </si>
  <si>
    <t>Darnell Carroll</t>
  </si>
  <si>
    <t>Peggy Shelton</t>
  </si>
  <si>
    <t>Virginia Wade</t>
  </si>
  <si>
    <t>Pat Richardson</t>
  </si>
  <si>
    <t>Alberta Ford</t>
  </si>
  <si>
    <t>Betsy Harrington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</si>
</sst>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£&quot;* #,##0_-;\-&quot;£&quot;* #,##0_-;_-&quot;£&quot;* &quot;-&quot;??_-;_-@_-"/>
    <numFmt numFmtId="165" formatCode="_-&quot;£&quot;* #,##0.00_-;\-&quot;£&quot;* #,##0.00_-;_-&quot;£&quot;* &quot;-&quot;??_-;_-@_-"/>
    <numFmt numFmtId="166" formatCode="_-[$£-809]* #,##0_-;\-[$£-809]* #,##0_-;_-[$£-809]* &quot;-&quot;??_-;_-@_-"/>
    <numFmt numFmtId="167" formatCode="_-[$£-809]* #,##0.00_-;\-[$£-809]* #,##0.00_-;_-[$£-809]* &quot;-&quot;??_-;_-@_-"/>
  </numFmts>
  <fonts count="7" x14ac:knownFonts="1">
    <font>
      <sz val="11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rgb="FFC00000"/>
      <name val="Arial"/>
      <family val="2"/>
    </font>
    <font>
      <b/>
      <sz val="11"/>
      <color theme="1"/>
      <name val="Arial"/>
      <family val="2"/>
    </font>
    <font>
      <b/>
      <sz val="11"/>
      <color theme="9" tint="-0.249977111117893"/>
      <name val="Arial"/>
      <family val="2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1" xfId="0" applyFont="1" applyBorder="1"/>
    <xf numFmtId="164" fontId="0" fillId="0" borderId="2" xfId="0" applyNumberFormat="1" applyBorder="1"/>
    <xf numFmtId="0" fontId="0" fillId="0" borderId="2" xfId="0" applyBorder="1"/>
    <xf numFmtId="164" fontId="0" fillId="0" borderId="0" xfId="1" applyNumberFormat="1" applyFont="1"/>
    <xf numFmtId="0" fontId="4" fillId="0" borderId="0" xfId="0" applyFont="1"/>
    <xf numFmtId="0" fontId="4" fillId="3" borderId="4" xfId="0" applyFont="1" applyFill="1" applyBorder="1"/>
    <xf numFmtId="0" fontId="4" fillId="3" borderId="3" xfId="0" applyFont="1" applyFill="1" applyBorder="1"/>
    <xf numFmtId="0" fontId="0" fillId="0" borderId="5" xfId="0" applyBorder="1"/>
    <xf numFmtId="166" fontId="0" fillId="0" borderId="5" xfId="0" applyNumberFormat="1" applyBorder="1"/>
    <xf numFmtId="0" fontId="0" fillId="0" borderId="1" xfId="0" applyBorder="1"/>
    <xf numFmtId="0" fontId="4" fillId="4" borderId="5" xfId="0" applyFont="1" applyFill="1" applyBorder="1"/>
    <xf numFmtId="0" fontId="0" fillId="5" borderId="0" xfId="0" applyFill="1"/>
    <xf numFmtId="167" fontId="0" fillId="0" borderId="5" xfId="0" applyNumberFormat="1" applyBorder="1"/>
    <xf numFmtId="9" fontId="0" fillId="0" borderId="5" xfId="0" applyNumberFormat="1" applyBorder="1"/>
    <xf numFmtId="0" fontId="5" fillId="0" borderId="1" xfId="0" applyFont="1" applyBorder="1"/>
    <xf numFmtId="0" fontId="6" fillId="0" borderId="0" xfId="0" applyFont="1"/>
    <xf numFmtId="0" fontId="4" fillId="4" borderId="0" xfId="0" applyFont="1" applyFill="1"/>
    <xf numFmtId="167" fontId="0" fillId="0" borderId="0" xfId="0" applyNumberFormat="1"/>
    <xf numFmtId="9" fontId="0" fillId="0" borderId="0" xfId="0" applyNumberFormat="1"/>
    <xf numFmtId="167" fontId="0" fillId="5" borderId="0" xfId="0" applyNumberFormat="1" applyFill="1"/>
    <xf numFmtId="9" fontId="0" fillId="5" borderId="0" xfId="0" applyNumberFormat="1" applyFill="1"/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2">
    <cellStyle name="Currency 2" xfId="1" xr:uid="{38A66CAC-7164-43C9-8F0C-BBA383558EE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Said%20Fawzy%20Training\Data%20Analysis\&#1605;&#1587;&#1575;&#1585;%20&#1578;&#1581;&#1604;&#1610;&#1604;%20&#1575;&#1604;&#1576;&#1610;&#1575;&#1606;&#1575;&#1578;%20&#1601;&#1609;%20&#1575;&#1604;&#1605;&#1602;&#1575;&#1608;&#1604;&#1610;&#1606;%20&#1575;&#1604;&#1593;&#1585;&#1576;\EXCEL%20TRAINING%20COURCES\Excel%20Basics\_Preperation\Files\Yearly%20Reveues.xlsx" TargetMode="External"/><Relationship Id="rId1" Type="http://schemas.openxmlformats.org/officeDocument/2006/relationships/externalLinkPath" Target="/Said%20Fawzy%20Training/Data%20Analysis/&#1605;&#1587;&#1575;&#1585;%20&#1578;&#1581;&#1604;&#1610;&#1604;%20&#1575;&#1604;&#1576;&#1610;&#1575;&#1606;&#1575;&#1578;%20&#1601;&#1609;%20&#1575;&#1604;&#1605;&#1602;&#1575;&#1608;&#1604;&#1610;&#1606;%20&#1575;&#1604;&#1593;&#1585;&#1576;/EXCEL%20TRAINING%20COURCES/Excel%20Basics/_Preperation/Files/Yearly%20Reve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wns"/>
    </sheetNames>
    <sheetDataSet>
      <sheetData sheetId="0">
        <row r="11">
          <cell r="B11">
            <v>20500</v>
          </cell>
          <cell r="E11">
            <v>15500</v>
          </cell>
        </row>
        <row r="21">
          <cell r="B21">
            <v>8800</v>
          </cell>
          <cell r="E21">
            <v>16500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FDEEA-2981-4B34-B1AD-28E19B282602}">
  <dimension ref="A1:H23"/>
  <sheetViews>
    <sheetView tabSelected="1" workbookViewId="0">
      <selection activeCell="D13" sqref="D13"/>
    </sheetView>
  </sheetViews>
  <sheetFormatPr defaultRowHeight="14.25" x14ac:dyDescent="0.2"/>
  <cols>
    <col min="1" max="4" width="20.75" customWidth="1"/>
    <col min="5" max="5" width="21" customWidth="1"/>
    <col min="6" max="6" width="20.75" customWidth="1"/>
    <col min="7" max="7" width="16.875" customWidth="1"/>
    <col min="8" max="8" width="20.25" customWidth="1"/>
  </cols>
  <sheetData>
    <row r="1" spans="1:8" ht="15" x14ac:dyDescent="0.2">
      <c r="A1" s="1" t="s">
        <v>0</v>
      </c>
    </row>
    <row r="4" spans="1:8" ht="15" x14ac:dyDescent="0.25">
      <c r="A4" s="2" t="s">
        <v>1</v>
      </c>
      <c r="B4" s="2" t="s">
        <v>2</v>
      </c>
      <c r="C4" s="2" t="s">
        <v>3</v>
      </c>
      <c r="D4" s="2" t="s">
        <v>4</v>
      </c>
      <c r="F4" s="2" t="s">
        <v>1</v>
      </c>
      <c r="G4" s="2" t="s">
        <v>2</v>
      </c>
      <c r="H4" s="2" t="s">
        <v>3</v>
      </c>
    </row>
    <row r="5" spans="1:8" x14ac:dyDescent="0.2">
      <c r="A5" t="s">
        <v>5</v>
      </c>
      <c r="B5" t="s">
        <v>6</v>
      </c>
      <c r="C5" t="s">
        <v>7</v>
      </c>
      <c r="H5" t="s">
        <v>7</v>
      </c>
    </row>
    <row r="6" spans="1:8" x14ac:dyDescent="0.2">
      <c r="A6" t="s">
        <v>8</v>
      </c>
      <c r="B6" t="s">
        <v>9</v>
      </c>
      <c r="C6" t="s">
        <v>10</v>
      </c>
      <c r="H6" t="s">
        <v>10</v>
      </c>
    </row>
    <row r="7" spans="1:8" x14ac:dyDescent="0.2">
      <c r="A7" t="s">
        <v>11</v>
      </c>
      <c r="B7" t="s">
        <v>12</v>
      </c>
      <c r="C7" t="s">
        <v>13</v>
      </c>
      <c r="H7" t="s">
        <v>13</v>
      </c>
    </row>
    <row r="8" spans="1:8" x14ac:dyDescent="0.2">
      <c r="A8" t="s">
        <v>14</v>
      </c>
      <c r="B8" t="s">
        <v>15</v>
      </c>
      <c r="C8" t="s">
        <v>16</v>
      </c>
      <c r="H8" t="s">
        <v>16</v>
      </c>
    </row>
    <row r="9" spans="1:8" x14ac:dyDescent="0.2">
      <c r="A9" t="s">
        <v>17</v>
      </c>
      <c r="B9" t="s">
        <v>18</v>
      </c>
    </row>
    <row r="10" spans="1:8" x14ac:dyDescent="0.2">
      <c r="A10" t="s">
        <v>19</v>
      </c>
      <c r="B10" t="s">
        <v>20</v>
      </c>
    </row>
    <row r="11" spans="1:8" x14ac:dyDescent="0.2">
      <c r="B11" t="s">
        <v>21</v>
      </c>
    </row>
    <row r="12" spans="1:8" x14ac:dyDescent="0.2">
      <c r="B12" t="s">
        <v>22</v>
      </c>
    </row>
    <row r="13" spans="1:8" x14ac:dyDescent="0.2">
      <c r="B13" t="s">
        <v>23</v>
      </c>
    </row>
    <row r="14" spans="1:8" x14ac:dyDescent="0.2">
      <c r="B14" t="s">
        <v>24</v>
      </c>
    </row>
    <row r="15" spans="1:8" x14ac:dyDescent="0.2">
      <c r="B15" t="s">
        <v>25</v>
      </c>
    </row>
    <row r="16" spans="1:8" x14ac:dyDescent="0.2">
      <c r="B16" t="s">
        <v>26</v>
      </c>
    </row>
    <row r="17" spans="2:2" x14ac:dyDescent="0.2">
      <c r="B17" t="s">
        <v>27</v>
      </c>
    </row>
    <row r="18" spans="2:2" x14ac:dyDescent="0.2">
      <c r="B18" t="s">
        <v>28</v>
      </c>
    </row>
    <row r="19" spans="2:2" x14ac:dyDescent="0.2">
      <c r="B19" t="s">
        <v>29</v>
      </c>
    </row>
    <row r="20" spans="2:2" x14ac:dyDescent="0.2">
      <c r="B20" t="s">
        <v>30</v>
      </c>
    </row>
    <row r="21" spans="2:2" x14ac:dyDescent="0.2">
      <c r="B21" t="s">
        <v>31</v>
      </c>
    </row>
    <row r="22" spans="2:2" x14ac:dyDescent="0.2">
      <c r="B22" t="s">
        <v>32</v>
      </c>
    </row>
    <row r="23" spans="2:2" x14ac:dyDescent="0.2">
      <c r="B2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B7062-20E0-4747-936E-2A624390936C}">
  <dimension ref="A1:N27"/>
  <sheetViews>
    <sheetView workbookViewId="0">
      <selection activeCell="A29" sqref="A29:G32"/>
    </sheetView>
  </sheetViews>
  <sheetFormatPr defaultRowHeight="14.25" x14ac:dyDescent="0.2"/>
  <cols>
    <col min="1" max="1" width="20.75" customWidth="1"/>
    <col min="2" max="2" width="8.625" bestFit="1" customWidth="1"/>
    <col min="3" max="3" width="4.5" bestFit="1" customWidth="1"/>
    <col min="4" max="4" width="11.625" customWidth="1"/>
    <col min="5" max="5" width="12.125" customWidth="1"/>
    <col min="6" max="6" width="20.75" customWidth="1"/>
    <col min="7" max="7" width="10.75" customWidth="1"/>
    <col min="8" max="8" width="12.75" customWidth="1"/>
    <col min="9" max="9" width="11.875" bestFit="1" customWidth="1"/>
    <col min="11" max="11" width="14.625" bestFit="1" customWidth="1"/>
    <col min="12" max="12" width="13.25" customWidth="1"/>
    <col min="14" max="14" width="19.25" customWidth="1"/>
  </cols>
  <sheetData>
    <row r="1" spans="1:14" ht="15" x14ac:dyDescent="0.2">
      <c r="A1" s="1" t="s">
        <v>52</v>
      </c>
    </row>
    <row r="3" spans="1:14" x14ac:dyDescent="0.2">
      <c r="A3" s="11" t="s">
        <v>53</v>
      </c>
      <c r="F3" s="11" t="s">
        <v>54</v>
      </c>
      <c r="K3" s="11" t="s">
        <v>55</v>
      </c>
    </row>
    <row r="5" spans="1:14" ht="15" x14ac:dyDescent="0.25">
      <c r="A5" s="12" t="s">
        <v>56</v>
      </c>
      <c r="B5" s="12" t="s">
        <v>57</v>
      </c>
      <c r="C5" s="12" t="s">
        <v>58</v>
      </c>
      <c r="D5" s="12" t="s">
        <v>34</v>
      </c>
      <c r="F5" s="13" t="s">
        <v>56</v>
      </c>
      <c r="G5" s="13" t="s">
        <v>57</v>
      </c>
      <c r="H5" s="13" t="s">
        <v>58</v>
      </c>
      <c r="I5" s="13" t="s">
        <v>34</v>
      </c>
      <c r="K5" s="13" t="s">
        <v>56</v>
      </c>
      <c r="L5" s="13" t="s">
        <v>57</v>
      </c>
      <c r="M5" s="13" t="s">
        <v>58</v>
      </c>
      <c r="N5" s="13" t="s">
        <v>34</v>
      </c>
    </row>
    <row r="6" spans="1:14" x14ac:dyDescent="0.2">
      <c r="A6" s="9" t="s">
        <v>59</v>
      </c>
      <c r="B6" s="14">
        <v>483</v>
      </c>
      <c r="C6" s="15">
        <v>0.2</v>
      </c>
      <c r="D6" s="14">
        <f>(B6*C6)+B6</f>
        <v>579.6</v>
      </c>
      <c r="F6" s="13" t="s">
        <v>59</v>
      </c>
      <c r="G6" s="13">
        <v>483</v>
      </c>
      <c r="H6" s="13">
        <v>0.2</v>
      </c>
      <c r="I6" s="13">
        <f>(G6*H6)+G6</f>
        <v>579.6</v>
      </c>
      <c r="K6" s="13" t="s">
        <v>59</v>
      </c>
      <c r="L6" s="21">
        <v>483</v>
      </c>
      <c r="M6" s="22">
        <v>0.2</v>
      </c>
      <c r="N6" s="21">
        <f>(L6*M6)+L6</f>
        <v>579.6</v>
      </c>
    </row>
    <row r="7" spans="1:14" x14ac:dyDescent="0.2">
      <c r="A7" s="9" t="s">
        <v>60</v>
      </c>
      <c r="B7" s="14">
        <v>406</v>
      </c>
      <c r="C7" s="15">
        <v>0.2</v>
      </c>
      <c r="D7" s="14">
        <f t="shared" ref="D7:D11" si="0">(B7*C7)+B7</f>
        <v>487.2</v>
      </c>
      <c r="F7" s="13" t="s">
        <v>60</v>
      </c>
      <c r="G7" s="13">
        <v>406</v>
      </c>
      <c r="H7" s="13">
        <v>0.2</v>
      </c>
      <c r="I7" s="13">
        <f t="shared" ref="I7:I11" si="1">(G7*H7)+G7</f>
        <v>487.2</v>
      </c>
      <c r="K7" s="13" t="s">
        <v>60</v>
      </c>
      <c r="L7" s="21">
        <v>406</v>
      </c>
      <c r="M7" s="22">
        <v>0.2</v>
      </c>
      <c r="N7" s="21">
        <f t="shared" ref="N7:N11" si="2">(L7*M7)+L7</f>
        <v>487.2</v>
      </c>
    </row>
    <row r="8" spans="1:14" x14ac:dyDescent="0.2">
      <c r="A8" s="9" t="s">
        <v>61</v>
      </c>
      <c r="B8" s="14">
        <v>468</v>
      </c>
      <c r="C8" s="15">
        <v>0.2</v>
      </c>
      <c r="D8" s="14">
        <f t="shared" si="0"/>
        <v>561.6</v>
      </c>
      <c r="F8" s="13" t="s">
        <v>61</v>
      </c>
      <c r="G8" s="13">
        <v>468</v>
      </c>
      <c r="H8" s="13">
        <v>0.2</v>
      </c>
      <c r="I8" s="13">
        <f t="shared" si="1"/>
        <v>561.6</v>
      </c>
      <c r="K8" s="13" t="s">
        <v>61</v>
      </c>
      <c r="L8" s="21">
        <v>468</v>
      </c>
      <c r="M8" s="22">
        <v>0.2</v>
      </c>
      <c r="N8" s="21">
        <f t="shared" si="2"/>
        <v>561.6</v>
      </c>
    </row>
    <row r="9" spans="1:14" x14ac:dyDescent="0.2">
      <c r="A9" s="9" t="s">
        <v>62</v>
      </c>
      <c r="B9" s="14">
        <v>313</v>
      </c>
      <c r="C9" s="15">
        <v>0.2</v>
      </c>
      <c r="D9" s="14">
        <f t="shared" si="0"/>
        <v>375.6</v>
      </c>
      <c r="F9" s="13" t="s">
        <v>62</v>
      </c>
      <c r="G9" s="13">
        <v>313</v>
      </c>
      <c r="H9" s="13">
        <v>0.2</v>
      </c>
      <c r="I9" s="13">
        <f t="shared" si="1"/>
        <v>375.6</v>
      </c>
      <c r="K9" s="13" t="s">
        <v>62</v>
      </c>
      <c r="L9" s="21">
        <v>313</v>
      </c>
      <c r="M9" s="22">
        <v>0.2</v>
      </c>
      <c r="N9" s="21">
        <f t="shared" si="2"/>
        <v>375.6</v>
      </c>
    </row>
    <row r="10" spans="1:14" x14ac:dyDescent="0.2">
      <c r="A10" s="9" t="s">
        <v>63</v>
      </c>
      <c r="B10" s="14">
        <v>368</v>
      </c>
      <c r="C10" s="15">
        <v>0.2</v>
      </c>
      <c r="D10" s="14">
        <f t="shared" si="0"/>
        <v>441.6</v>
      </c>
      <c r="F10" s="13" t="s">
        <v>63</v>
      </c>
      <c r="G10" s="13">
        <v>368</v>
      </c>
      <c r="H10" s="13">
        <v>0.2</v>
      </c>
      <c r="I10" s="13">
        <f t="shared" si="1"/>
        <v>441.6</v>
      </c>
      <c r="K10" s="13" t="s">
        <v>63</v>
      </c>
      <c r="L10" s="21">
        <v>368</v>
      </c>
      <c r="M10" s="22">
        <v>0.2</v>
      </c>
      <c r="N10" s="21">
        <f t="shared" si="2"/>
        <v>441.6</v>
      </c>
    </row>
    <row r="11" spans="1:14" x14ac:dyDescent="0.2">
      <c r="A11" s="9" t="s">
        <v>64</v>
      </c>
      <c r="B11" s="14">
        <v>302</v>
      </c>
      <c r="C11" s="15">
        <v>0.2</v>
      </c>
      <c r="D11" s="14">
        <f t="shared" si="0"/>
        <v>362.4</v>
      </c>
      <c r="F11" s="13" t="s">
        <v>64</v>
      </c>
      <c r="G11" s="13">
        <v>302</v>
      </c>
      <c r="H11" s="13">
        <v>0.2</v>
      </c>
      <c r="I11" s="13">
        <f t="shared" si="1"/>
        <v>362.4</v>
      </c>
      <c r="K11" s="13" t="s">
        <v>64</v>
      </c>
      <c r="L11" s="21">
        <v>302</v>
      </c>
      <c r="M11" s="22">
        <v>0.2</v>
      </c>
      <c r="N11" s="21">
        <f t="shared" si="2"/>
        <v>362.4</v>
      </c>
    </row>
    <row r="15" spans="1:14" x14ac:dyDescent="0.2">
      <c r="A15" s="11" t="s">
        <v>65</v>
      </c>
      <c r="F15" s="11" t="s">
        <v>66</v>
      </c>
      <c r="K15" s="11" t="s">
        <v>67</v>
      </c>
    </row>
    <row r="17" spans="1:14" ht="15" x14ac:dyDescent="0.25">
      <c r="A17" s="12" t="s">
        <v>56</v>
      </c>
      <c r="B17" s="12" t="s">
        <v>57</v>
      </c>
      <c r="C17" s="12" t="s">
        <v>58</v>
      </c>
      <c r="D17" s="12" t="s">
        <v>34</v>
      </c>
      <c r="F17" s="18" t="s">
        <v>56</v>
      </c>
      <c r="G17" s="18" t="s">
        <v>57</v>
      </c>
      <c r="H17" s="18" t="s">
        <v>58</v>
      </c>
      <c r="I17" s="18" t="s">
        <v>34</v>
      </c>
      <c r="K17" s="13" t="s">
        <v>56</v>
      </c>
      <c r="L17" s="13" t="s">
        <v>57</v>
      </c>
      <c r="M17" s="13" t="s">
        <v>58</v>
      </c>
      <c r="N17" s="13" t="s">
        <v>34</v>
      </c>
    </row>
    <row r="18" spans="1:14" x14ac:dyDescent="0.2">
      <c r="A18" s="9" t="s">
        <v>59</v>
      </c>
      <c r="B18" s="14">
        <v>483</v>
      </c>
      <c r="C18" s="15">
        <v>0.2</v>
      </c>
      <c r="D18" s="14">
        <f>(B18*C18)+B18</f>
        <v>579.6</v>
      </c>
      <c r="F18" t="s">
        <v>59</v>
      </c>
      <c r="G18" s="19">
        <v>483</v>
      </c>
      <c r="H18" s="20">
        <v>0.2</v>
      </c>
      <c r="I18" s="19">
        <f>(G18*H18)+G18</f>
        <v>579.6</v>
      </c>
      <c r="K18" s="13" t="s">
        <v>59</v>
      </c>
      <c r="L18" s="13">
        <v>483</v>
      </c>
      <c r="M18" s="13">
        <v>0.2</v>
      </c>
      <c r="N18" s="13">
        <v>579.6</v>
      </c>
    </row>
    <row r="19" spans="1:14" x14ac:dyDescent="0.2">
      <c r="A19" s="9" t="s">
        <v>60</v>
      </c>
      <c r="B19" s="14">
        <v>406</v>
      </c>
      <c r="C19" s="15">
        <v>0.2</v>
      </c>
      <c r="D19" s="14">
        <f t="shared" ref="D19:D23" si="3">(B19*C19)+B19</f>
        <v>487.2</v>
      </c>
      <c r="F19" t="s">
        <v>60</v>
      </c>
      <c r="G19" s="19">
        <v>406</v>
      </c>
      <c r="H19" s="20">
        <v>0.2</v>
      </c>
      <c r="I19" s="19">
        <f t="shared" ref="I19:I23" si="4">(G19*H19)+G19</f>
        <v>487.2</v>
      </c>
      <c r="K19" s="13" t="s">
        <v>60</v>
      </c>
      <c r="L19" s="13">
        <v>406</v>
      </c>
      <c r="M19" s="13">
        <v>0.2</v>
      </c>
      <c r="N19" s="13">
        <v>487.2</v>
      </c>
    </row>
    <row r="20" spans="1:14" x14ac:dyDescent="0.2">
      <c r="A20" s="9" t="s">
        <v>61</v>
      </c>
      <c r="B20" s="14">
        <v>468</v>
      </c>
      <c r="C20" s="15">
        <v>0.2</v>
      </c>
      <c r="D20" s="14">
        <f t="shared" si="3"/>
        <v>561.6</v>
      </c>
      <c r="F20" t="s">
        <v>61</v>
      </c>
      <c r="G20" s="19">
        <v>468</v>
      </c>
      <c r="H20" s="20">
        <v>0.2</v>
      </c>
      <c r="I20" s="19">
        <f t="shared" si="4"/>
        <v>561.6</v>
      </c>
      <c r="K20" s="13" t="s">
        <v>61</v>
      </c>
      <c r="L20" s="13">
        <v>468</v>
      </c>
      <c r="M20" s="13">
        <v>0.2</v>
      </c>
      <c r="N20" s="13">
        <v>561.6</v>
      </c>
    </row>
    <row r="21" spans="1:14" x14ac:dyDescent="0.2">
      <c r="A21" s="9" t="s">
        <v>62</v>
      </c>
      <c r="B21" s="14">
        <v>313</v>
      </c>
      <c r="C21" s="15">
        <v>0.2</v>
      </c>
      <c r="D21" s="14">
        <f t="shared" si="3"/>
        <v>375.6</v>
      </c>
      <c r="F21" t="s">
        <v>62</v>
      </c>
      <c r="G21" s="19">
        <v>313</v>
      </c>
      <c r="H21" s="20">
        <v>0.2</v>
      </c>
      <c r="I21" s="19">
        <f t="shared" si="4"/>
        <v>375.6</v>
      </c>
      <c r="K21" s="13" t="s">
        <v>62</v>
      </c>
      <c r="L21" s="13">
        <v>313</v>
      </c>
      <c r="M21" s="13">
        <v>0.2</v>
      </c>
      <c r="N21" s="13">
        <v>375.6</v>
      </c>
    </row>
    <row r="22" spans="1:14" x14ac:dyDescent="0.2">
      <c r="A22" s="9" t="s">
        <v>63</v>
      </c>
      <c r="B22" s="14">
        <v>368</v>
      </c>
      <c r="C22" s="15">
        <v>0.2</v>
      </c>
      <c r="D22" s="14">
        <f t="shared" si="3"/>
        <v>441.6</v>
      </c>
      <c r="F22" t="s">
        <v>63</v>
      </c>
      <c r="G22" s="19">
        <v>368</v>
      </c>
      <c r="H22" s="20">
        <v>0.2</v>
      </c>
      <c r="I22" s="19">
        <f t="shared" si="4"/>
        <v>441.6</v>
      </c>
      <c r="K22" s="13" t="s">
        <v>63</v>
      </c>
      <c r="L22" s="13">
        <v>368</v>
      </c>
      <c r="M22" s="13">
        <v>0.2</v>
      </c>
      <c r="N22" s="13">
        <v>441.6</v>
      </c>
    </row>
    <row r="23" spans="1:14" x14ac:dyDescent="0.2">
      <c r="A23" s="9" t="s">
        <v>64</v>
      </c>
      <c r="B23" s="14">
        <v>302</v>
      </c>
      <c r="C23" s="15">
        <v>0.2</v>
      </c>
      <c r="D23" s="14">
        <f t="shared" si="3"/>
        <v>362.4</v>
      </c>
      <c r="F23" t="s">
        <v>64</v>
      </c>
      <c r="G23" s="19">
        <v>302</v>
      </c>
      <c r="H23" s="20">
        <v>0.2</v>
      </c>
      <c r="I23" s="19">
        <f t="shared" si="4"/>
        <v>362.4</v>
      </c>
      <c r="K23" s="13" t="s">
        <v>64</v>
      </c>
      <c r="L23" s="13">
        <v>302</v>
      </c>
      <c r="M23" s="13">
        <v>0.2</v>
      </c>
      <c r="N23" s="13">
        <v>362.4</v>
      </c>
    </row>
    <row r="27" spans="1:14" x14ac:dyDescent="0.2">
      <c r="A27" s="1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786E8-F06B-49BC-878E-9E1CA9EBC051}">
  <dimension ref="A1:F18"/>
  <sheetViews>
    <sheetView workbookViewId="0">
      <selection activeCell="B10" sqref="B10"/>
    </sheetView>
  </sheetViews>
  <sheetFormatPr defaultRowHeight="14.25" x14ac:dyDescent="0.2"/>
  <cols>
    <col min="1" max="1" width="19.5" customWidth="1"/>
    <col min="2" max="4" width="20.75" customWidth="1"/>
    <col min="5" max="5" width="21" customWidth="1"/>
    <col min="6" max="6" width="20.75" customWidth="1"/>
    <col min="7" max="7" width="16.875" customWidth="1"/>
    <col min="8" max="8" width="20.25" customWidth="1"/>
  </cols>
  <sheetData>
    <row r="1" spans="1:6" ht="15" x14ac:dyDescent="0.2">
      <c r="A1" s="1" t="s">
        <v>69</v>
      </c>
      <c r="F1" s="17" t="s">
        <v>57</v>
      </c>
    </row>
    <row r="2" spans="1:6" x14ac:dyDescent="0.2">
      <c r="F2" s="17" t="s">
        <v>75</v>
      </c>
    </row>
    <row r="4" spans="1:6" ht="15" x14ac:dyDescent="0.25">
      <c r="A4" s="16" t="s">
        <v>70</v>
      </c>
      <c r="B4" s="16" t="s">
        <v>3</v>
      </c>
      <c r="D4" s="16" t="s">
        <v>3</v>
      </c>
      <c r="E4" s="16" t="s">
        <v>70</v>
      </c>
    </row>
    <row r="5" spans="1:6" x14ac:dyDescent="0.2">
      <c r="A5" t="s">
        <v>71</v>
      </c>
      <c r="B5" t="s">
        <v>72</v>
      </c>
      <c r="D5" s="17" t="s">
        <v>72</v>
      </c>
      <c r="E5" s="17" t="s">
        <v>75</v>
      </c>
      <c r="F5" s="17"/>
    </row>
    <row r="6" spans="1:6" x14ac:dyDescent="0.2">
      <c r="A6" t="s">
        <v>73</v>
      </c>
      <c r="B6" t="s">
        <v>57</v>
      </c>
      <c r="D6" s="17" t="s">
        <v>57</v>
      </c>
    </row>
    <row r="7" spans="1:6" x14ac:dyDescent="0.2">
      <c r="A7" t="s">
        <v>74</v>
      </c>
      <c r="B7" t="s">
        <v>75</v>
      </c>
      <c r="D7" s="17" t="s">
        <v>75</v>
      </c>
    </row>
    <row r="8" spans="1:6" x14ac:dyDescent="0.2">
      <c r="A8" t="s">
        <v>76</v>
      </c>
      <c r="B8" t="s">
        <v>72</v>
      </c>
    </row>
    <row r="9" spans="1:6" x14ac:dyDescent="0.2">
      <c r="A9" t="s">
        <v>77</v>
      </c>
      <c r="B9" t="s">
        <v>72</v>
      </c>
      <c r="D9" s="17"/>
      <c r="E9" s="17"/>
    </row>
    <row r="10" spans="1:6" x14ac:dyDescent="0.2">
      <c r="A10" t="s">
        <v>78</v>
      </c>
      <c r="B10" t="s">
        <v>57</v>
      </c>
      <c r="D10" s="17"/>
      <c r="E10" s="17"/>
    </row>
    <row r="11" spans="1:6" x14ac:dyDescent="0.2">
      <c r="A11" t="s">
        <v>79</v>
      </c>
      <c r="B11" t="s">
        <v>75</v>
      </c>
      <c r="D11" s="17"/>
      <c r="E11" s="17"/>
    </row>
    <row r="12" spans="1:6" x14ac:dyDescent="0.2">
      <c r="A12" t="s">
        <v>80</v>
      </c>
      <c r="B12" t="s">
        <v>75</v>
      </c>
      <c r="E12" s="17"/>
    </row>
    <row r="13" spans="1:6" x14ac:dyDescent="0.2">
      <c r="A13" t="s">
        <v>81</v>
      </c>
      <c r="B13" t="s">
        <v>75</v>
      </c>
      <c r="E13" s="17"/>
    </row>
    <row r="14" spans="1:6" x14ac:dyDescent="0.2">
      <c r="A14" t="s">
        <v>82</v>
      </c>
      <c r="B14" t="s">
        <v>57</v>
      </c>
      <c r="E14" s="17"/>
    </row>
    <row r="15" spans="1:6" x14ac:dyDescent="0.2">
      <c r="A15" t="s">
        <v>83</v>
      </c>
      <c r="B15" t="s">
        <v>57</v>
      </c>
      <c r="E15" s="17"/>
    </row>
    <row r="16" spans="1:6" x14ac:dyDescent="0.2">
      <c r="A16" t="s">
        <v>84</v>
      </c>
      <c r="B16" t="s">
        <v>72</v>
      </c>
      <c r="E16" s="17"/>
    </row>
    <row r="17" spans="5:5" x14ac:dyDescent="0.2">
      <c r="E17" s="17"/>
    </row>
    <row r="18" spans="5:5" x14ac:dyDescent="0.2">
      <c r="E18" s="17"/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0C502-3492-430E-A392-1951BFE327F6}">
  <dimension ref="A1:H21"/>
  <sheetViews>
    <sheetView workbookViewId="0">
      <selection activeCell="E18" sqref="E18"/>
    </sheetView>
  </sheetViews>
  <sheetFormatPr defaultRowHeight="14.25" x14ac:dyDescent="0.2"/>
  <cols>
    <col min="1" max="1" width="14.625" customWidth="1"/>
    <col min="2" max="2" width="12.75" customWidth="1"/>
    <col min="3" max="3" width="15.5" customWidth="1"/>
    <col min="4" max="4" width="14.625" customWidth="1"/>
    <col min="5" max="5" width="12.75" customWidth="1"/>
    <col min="6" max="6" width="20.75" customWidth="1"/>
    <col min="7" max="7" width="16.875" customWidth="1"/>
    <col min="8" max="8" width="20.25" customWidth="1"/>
  </cols>
  <sheetData>
    <row r="1" spans="1:8" ht="15" x14ac:dyDescent="0.2">
      <c r="A1" s="1" t="s">
        <v>45</v>
      </c>
    </row>
    <row r="4" spans="1:8" ht="15" x14ac:dyDescent="0.25">
      <c r="A4" s="23" t="s">
        <v>44</v>
      </c>
      <c r="B4" s="24"/>
      <c r="D4" s="23" t="s">
        <v>43</v>
      </c>
      <c r="E4" s="24"/>
      <c r="G4" s="7" t="s">
        <v>47</v>
      </c>
      <c r="H4" s="8" t="s">
        <v>39</v>
      </c>
    </row>
    <row r="5" spans="1:8" x14ac:dyDescent="0.2">
      <c r="G5" s="9" t="s">
        <v>44</v>
      </c>
      <c r="H5" s="10">
        <f>B11</f>
        <v>16500</v>
      </c>
    </row>
    <row r="6" spans="1:8" ht="15" x14ac:dyDescent="0.25">
      <c r="A6" s="6" t="s">
        <v>40</v>
      </c>
      <c r="B6" s="6" t="s">
        <v>39</v>
      </c>
      <c r="D6" s="6" t="s">
        <v>40</v>
      </c>
      <c r="E6" s="6" t="s">
        <v>39</v>
      </c>
      <c r="G6" s="9" t="s">
        <v>43</v>
      </c>
      <c r="H6" s="10">
        <f>E11</f>
        <v>15500</v>
      </c>
    </row>
    <row r="7" spans="1:8" x14ac:dyDescent="0.2">
      <c r="A7" t="s">
        <v>38</v>
      </c>
      <c r="B7" s="5">
        <v>2000</v>
      </c>
      <c r="D7" t="s">
        <v>38</v>
      </c>
      <c r="E7" s="5">
        <v>6000</v>
      </c>
      <c r="G7" s="9" t="s">
        <v>42</v>
      </c>
      <c r="H7" s="10">
        <f>B21</f>
        <v>8800</v>
      </c>
    </row>
    <row r="8" spans="1:8" x14ac:dyDescent="0.2">
      <c r="A8" t="s">
        <v>37</v>
      </c>
      <c r="B8" s="5">
        <v>8000</v>
      </c>
      <c r="D8" t="s">
        <v>37</v>
      </c>
      <c r="E8" s="5">
        <v>4500</v>
      </c>
      <c r="G8" s="9" t="s">
        <v>41</v>
      </c>
      <c r="H8" s="10">
        <f>E21</f>
        <v>19000</v>
      </c>
    </row>
    <row r="9" spans="1:8" x14ac:dyDescent="0.2">
      <c r="A9" t="s">
        <v>36</v>
      </c>
      <c r="B9" s="5">
        <v>4000</v>
      </c>
      <c r="D9" t="s">
        <v>36</v>
      </c>
      <c r="E9" s="5">
        <v>4000</v>
      </c>
    </row>
    <row r="10" spans="1:8" ht="15" thickBot="1" x14ac:dyDescent="0.25">
      <c r="A10" t="s">
        <v>35</v>
      </c>
      <c r="B10" s="5">
        <v>2500</v>
      </c>
      <c r="D10" t="s">
        <v>35</v>
      </c>
      <c r="E10" s="5">
        <v>1000</v>
      </c>
    </row>
    <row r="11" spans="1:8" ht="15" thickTop="1" x14ac:dyDescent="0.2">
      <c r="A11" s="4" t="s">
        <v>34</v>
      </c>
      <c r="B11" s="3">
        <f>SUM(B7:B10)</f>
        <v>16500</v>
      </c>
      <c r="D11" s="4" t="s">
        <v>34</v>
      </c>
      <c r="E11" s="3">
        <f>SUM(E7:E10)</f>
        <v>15500</v>
      </c>
    </row>
    <row r="12" spans="1:8" ht="15" x14ac:dyDescent="0.25">
      <c r="A12" s="6"/>
    </row>
    <row r="14" spans="1:8" x14ac:dyDescent="0.2">
      <c r="A14" s="23" t="s">
        <v>42</v>
      </c>
      <c r="B14" s="24"/>
      <c r="D14" s="23" t="s">
        <v>41</v>
      </c>
      <c r="E14" s="24"/>
    </row>
    <row r="16" spans="1:8" ht="15" x14ac:dyDescent="0.25">
      <c r="A16" s="6" t="s">
        <v>40</v>
      </c>
      <c r="B16" s="6" t="s">
        <v>39</v>
      </c>
      <c r="D16" s="6" t="s">
        <v>40</v>
      </c>
      <c r="E16" s="6" t="s">
        <v>39</v>
      </c>
    </row>
    <row r="17" spans="1:5" x14ac:dyDescent="0.2">
      <c r="A17" t="s">
        <v>38</v>
      </c>
      <c r="B17" s="5">
        <v>5000</v>
      </c>
      <c r="D17" t="s">
        <v>38</v>
      </c>
      <c r="E17" s="5">
        <v>5000</v>
      </c>
    </row>
    <row r="18" spans="1:5" x14ac:dyDescent="0.2">
      <c r="A18" t="s">
        <v>37</v>
      </c>
      <c r="B18" s="5">
        <v>2000</v>
      </c>
      <c r="D18" t="s">
        <v>37</v>
      </c>
      <c r="E18" s="5">
        <v>3000</v>
      </c>
    </row>
    <row r="19" spans="1:5" x14ac:dyDescent="0.2">
      <c r="A19" t="s">
        <v>36</v>
      </c>
      <c r="B19" s="5">
        <v>1000</v>
      </c>
      <c r="D19" t="s">
        <v>36</v>
      </c>
      <c r="E19" s="5">
        <v>6000</v>
      </c>
    </row>
    <row r="20" spans="1:5" ht="15" thickBot="1" x14ac:dyDescent="0.25">
      <c r="A20" t="s">
        <v>35</v>
      </c>
      <c r="B20" s="5">
        <v>800</v>
      </c>
      <c r="D20" t="s">
        <v>35</v>
      </c>
      <c r="E20" s="5">
        <v>5000</v>
      </c>
    </row>
    <row r="21" spans="1:5" ht="15" thickTop="1" x14ac:dyDescent="0.2">
      <c r="A21" s="4" t="s">
        <v>34</v>
      </c>
      <c r="B21" s="3">
        <f>SUM(B17:B20)</f>
        <v>8800</v>
      </c>
      <c r="D21" s="4" t="s">
        <v>34</v>
      </c>
      <c r="E21" s="3">
        <f>SUM(E17:E20)</f>
        <v>19000</v>
      </c>
    </row>
  </sheetData>
  <mergeCells count="4">
    <mergeCell ref="A4:B4"/>
    <mergeCell ref="D4:E4"/>
    <mergeCell ref="A14:B14"/>
    <mergeCell ref="D14:E14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B8FA-ED77-4371-96DD-CEA846778538}">
  <dimension ref="A1:B15"/>
  <sheetViews>
    <sheetView workbookViewId="0">
      <selection activeCell="D18" sqref="D18"/>
    </sheetView>
  </sheetViews>
  <sheetFormatPr defaultRowHeight="14.25" x14ac:dyDescent="0.2"/>
  <cols>
    <col min="1" max="1" width="17.875" customWidth="1"/>
    <col min="2" max="2" width="14.75" customWidth="1"/>
  </cols>
  <sheetData>
    <row r="1" spans="1:2" s="1" customFormat="1" ht="15" x14ac:dyDescent="0.2">
      <c r="A1" s="1" t="s">
        <v>46</v>
      </c>
    </row>
    <row r="4" spans="1:2" ht="15" x14ac:dyDescent="0.25">
      <c r="A4" s="7" t="s">
        <v>47</v>
      </c>
      <c r="B4" s="8" t="s">
        <v>39</v>
      </c>
    </row>
    <row r="5" spans="1:2" x14ac:dyDescent="0.2">
      <c r="A5" s="9" t="s">
        <v>44</v>
      </c>
      <c r="B5" s="10">
        <f>Linking!B11</f>
        <v>16500</v>
      </c>
    </row>
    <row r="6" spans="1:2" x14ac:dyDescent="0.2">
      <c r="A6" s="9" t="s">
        <v>43</v>
      </c>
      <c r="B6" s="10">
        <f>Linking!E11</f>
        <v>15500</v>
      </c>
    </row>
    <row r="7" spans="1:2" x14ac:dyDescent="0.2">
      <c r="A7" s="9" t="s">
        <v>42</v>
      </c>
      <c r="B7" s="10">
        <f>Linking!B21</f>
        <v>8800</v>
      </c>
    </row>
    <row r="8" spans="1:2" x14ac:dyDescent="0.2">
      <c r="A8" s="9" t="s">
        <v>41</v>
      </c>
      <c r="B8" s="10">
        <f>Linking!E21</f>
        <v>19000</v>
      </c>
    </row>
    <row r="11" spans="1:2" ht="15" x14ac:dyDescent="0.25">
      <c r="A11" s="7" t="s">
        <v>47</v>
      </c>
      <c r="B11" s="8" t="s">
        <v>39</v>
      </c>
    </row>
    <row r="12" spans="1:2" x14ac:dyDescent="0.2">
      <c r="A12" s="9" t="s">
        <v>48</v>
      </c>
      <c r="B12" s="10">
        <f>[1]Towns!$B$11</f>
        <v>20500</v>
      </c>
    </row>
    <row r="13" spans="1:2" x14ac:dyDescent="0.2">
      <c r="A13" s="9" t="s">
        <v>49</v>
      </c>
      <c r="B13" s="10">
        <f>[1]Towns!$E$11</f>
        <v>15500</v>
      </c>
    </row>
    <row r="14" spans="1:2" x14ac:dyDescent="0.2">
      <c r="A14" s="9" t="s">
        <v>50</v>
      </c>
      <c r="B14" s="10">
        <f>[1]Towns!$B$21</f>
        <v>8800</v>
      </c>
    </row>
    <row r="15" spans="1:2" x14ac:dyDescent="0.2">
      <c r="A15" s="9" t="s">
        <v>51</v>
      </c>
      <c r="B15" s="10">
        <f>[1]Towns!$E$21</f>
        <v>16500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Cut and Copy</vt:lpstr>
      <vt:lpstr>Paste Options</vt:lpstr>
      <vt:lpstr>Clipboard</vt:lpstr>
      <vt:lpstr>Linking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2025-09-22T10:55:40Z</dcterms:created>
  <dcterms:modified xsi:type="dcterms:W3CDTF">2025-09-24T12:47:45Z</dcterms:modified>
</cp:coreProperties>
</file>